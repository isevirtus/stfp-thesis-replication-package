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parisons" sheetId="3" state="visible" r:id="rId3"/>
    <sheet xmlns:r="http://schemas.openxmlformats.org/officeDocument/2006/relationships" name="Comparison Origins" sheetId="4" state="visible" r:id="rId4"/>
    <sheet xmlns:r="http://schemas.openxmlformats.org/officeDocument/2006/relationships" name="Acceptability" sheetId="5" state="visible" r:id="rId5"/>
    <sheet xmlns:r="http://schemas.openxmlformats.org/officeDocument/2006/relationships" name="Source 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color rgb="FF1F2937"/>
      <sz val="10"/>
    </font>
    <font>
      <name val="Calibri"/>
      <b val="1"/>
      <color rgb="FF1F3B63"/>
      <sz val="11"/>
    </font>
    <font>
      <name val="Calibri"/>
      <color rgb="FF1F2937"/>
      <sz val="9"/>
    </font>
    <font>
      <name val="Calibri"/>
      <b val="1"/>
      <color rgb="FFFFFFFF"/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FF1F3B63"/>
      </patternFill>
    </fill>
    <fill>
      <patternFill patternType="solid">
        <fgColor rgb="FFF2F4F7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Calibrated GA vs. Historical Team (16 projects)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solidFill xmlns:a="http://schemas.openxmlformats.org/drawingml/2006/main">
              <a:srgbClr val="FF9AA5B1"/>
            </a:solidFill>
            <a:ln xmlns:a="http://schemas.openxmlformats.org/drawingml/2006/main">
              <a:prstDash val="solid"/>
            </a:ln>
          </spPr>
          <cat>
            <numRef>
              <f>'Summary'!$A$6:$A$8</f>
            </numRef>
          </cat>
          <val>
            <numRef>
              <f>'Summary'!$B$6:$B$8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Calibrated GA vs. GA_uniform (12 projects)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solidFill xmlns:a="http://schemas.openxmlformats.org/drawingml/2006/main">
              <a:srgbClr val="FF9AA5B1"/>
            </a:solidFill>
            <a:ln xmlns:a="http://schemas.openxmlformats.org/drawingml/2006/main">
              <a:prstDash val="solid"/>
            </a:ln>
          </spPr>
          <cat>
            <numRef>
              <f>'Summary'!$A$12:$A$14</f>
            </numRef>
          </cat>
          <val>
            <numRef>
              <f>'Summary'!$B$12:$B$14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Acceptability of Calibrated-GA Teams (16 teams)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'Summary'!B17</f>
            </strRef>
          </tx>
          <spPr>
            <a:solidFill xmlns:a="http://schemas.openxmlformats.org/drawingml/2006/main">
              <a:srgbClr val="FF2F6EA6"/>
            </a:solidFill>
            <a:ln xmlns:a="http://schemas.openxmlformats.org/drawingml/2006/main">
              <a:prstDash val="solid"/>
            </a:ln>
          </spPr>
          <cat>
            <numRef>
              <f>'Summary'!$A$18:$A$20</f>
            </numRef>
          </cat>
          <val>
            <numRef>
              <f>'Summary'!$B$18:$B$20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95" customWidth="1" min="1" max="1"/>
    <col width="60" customWidth="1" min="2" max="2"/>
  </cols>
  <sheetData>
    <row r="1" ht="30" customHeight="1">
      <c r="A1" s="1" t="inlineStr">
        <is>
          <t>RQ5: Blinded Practitioner Validation</t>
        </is>
      </c>
      <c r="B1" s="2" t="n"/>
      <c r="C1" s="2" t="n"/>
      <c r="D1" s="2" t="n"/>
      <c r="E1" s="2" t="n"/>
      <c r="F1" s="2" t="n"/>
      <c r="G1" s="2" t="n"/>
      <c r="H1" s="2" t="n"/>
    </row>
    <row r="2" ht="40" customHeight="1">
      <c r="A2" s="3" t="inlineStr">
        <is>
          <t>Reproducibility workbook for the blinded pairwise comparisons and isolated acceptability judgements the staffing authority made over the sixteen held-out 2025 projects (RQ5, Section VI-E of the paper). Formative TeamPlus follow-up evidence is reported separately in 08_RQ5_TeamPlus_Followup.xlsx.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Workbook purpose and evidence scope</t>
        </is>
      </c>
      <c r="B4" s="6" t="n"/>
      <c r="C4" s="6" t="n"/>
      <c r="D4" s="6" t="n"/>
      <c r="E4" s="6" t="n"/>
      <c r="F4" s="6" t="n"/>
      <c r="G4" s="6" t="n"/>
      <c r="H4" s="6" t="n"/>
    </row>
    <row r="5" ht="48" customHeight="1">
      <c r="A5" s="7" t="inlineStr">
        <is>
          <t>The staffing authority judged anonymized candidate teams without seeing condition labels, AT, AC, AE, or method provenance. Two tasks were retained: (1) blinded pairwise comparisons of the calibrated-GA team against the historical team and, when compositionally different, against GA_uniform; (2) an isolated acceptability judgement for each of the sixteen calibrated-GA teams (staffable as-is / with minor adjustments / not at all).</t>
        </is>
      </c>
    </row>
    <row r="6" ht="48" customHeight="1">
      <c r="A6" s="7" t="inlineStr">
        <is>
          <t>The raw comparison workbook ("Comparisons" sheet) contains 53 rows: one illustrative EXAMPLE plus 52 real blinded comparisons. These 52 rows mix three comparator types -- calibrated GA vs. historical team, calibrated GA vs. GA_uniform, and calibrated GA vs. a direct-LLM team -- because the same blinded workbook format was reused across RQ4/RQ5 data collection. RQ5 retains only the historical and GA_uniform comparator types; LLM-involving rows are excluded, exactly as stated in the paper.</t>
        </is>
      </c>
    </row>
    <row r="7" ht="48" customHeight="1">
      <c r="A7" s="7" t="inlineStr">
        <is>
          <t>The "Comparison Origins" sheet is the decoded cross-reference that identifies which anonymized team code (e.g. "T-9473") corresponds to which condition (historical team / calibrated GA / GA_uniform / LLM) for each row, by matching each roster's developer-ID set against the known team compositions from the RQ2-RQ4 source files. It also flags which rows are repeated presentations of the same underlying composition pair (for within-participant consistency checks) and whether repeated presentations agreed.</t>
        </is>
      </c>
    </row>
    <row r="8" ht="48" customHeight="1">
      <c r="A8" s="7" t="inlineStr">
        <is>
          <t>Filtering the 52 rows to the two retained comparator types yields exactly 19 historical-comparison rows (16 unique projects, 3 with a repeated presentation) and 14 GA_uniform-comparison rows (12 unique projects, 2 with a repeated presentation) -- matching the paper's retained-design table exactly. The resulting win/tie/loss counts (3/12/1 vs. historical; 2/5/5 vs. GA_uniform) and the acceptability counts (9/3/4) were independently recomputed here from the raw sources and match the paper's Table V exactly.</t>
        </is>
      </c>
    </row>
    <row r="10">
      <c r="A10" s="5" t="inlineStr">
        <is>
          <t>Worksheet guide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8" t="inlineStr">
        <is>
          <t>Worksheet</t>
        </is>
      </c>
      <c r="B11" s="8" t="inlineStr">
        <is>
          <t>Contents</t>
        </is>
      </c>
    </row>
    <row r="12" ht="40" customHeight="1">
      <c r="A12" s="9" t="inlineStr">
        <is>
          <t>Summary</t>
        </is>
      </c>
      <c r="B12" s="9" t="inlineStr">
        <is>
          <t>Independently recomputed comparison and acceptability tables (matching the paper's Table V exactly), with charts and interpretation.</t>
        </is>
      </c>
    </row>
    <row r="13" ht="40" customHeight="1">
      <c r="A13" s="9" t="inlineStr">
        <is>
          <t>Comparisons</t>
        </is>
      </c>
      <c r="B13" s="9" t="inlineStr">
        <is>
          <t>All 53 rows (1 example + 52 real) of the blinded pairwise-comparison workbook, exactly as presented to and answered by the participant, including full technical/collaboration indicator text (source: comparacoes_modelo.csv).</t>
        </is>
      </c>
    </row>
    <row r="14" ht="40" customHeight="1">
      <c r="A14" s="9" t="inlineStr">
        <is>
          <t>Comparison Origins</t>
        </is>
      </c>
      <c r="B14" s="9" t="inlineStr">
        <is>
          <t>The decoded condition (historical/calibrated-GA/GA_uniform/LLM) for each side of all 52 real comparisons, plus repeated-presentation grouping and consistency flags (source: resultados_especialista_e_bn_surrogate (1).xlsx, sheet "Escolhas do especialista").</t>
        </is>
      </c>
    </row>
    <row r="15" ht="40" customHeight="1">
      <c r="A15" s="9" t="inlineStr">
        <is>
          <t>Acceptability</t>
        </is>
      </c>
      <c r="B15" s="9" t="inlineStr">
        <is>
          <t>All 17 rows (1 example + 16 real) of the isolated acceptability workbook for the calibrated-GA teams, exactly as presented and answered (source: [TFP] expert_study_workbook - Acceptability.csv).</t>
        </is>
      </c>
    </row>
    <row r="16" ht="40" customHeight="1">
      <c r="A16" s="9" t="inlineStr">
        <is>
          <t>Source Manifest</t>
        </is>
      </c>
      <c r="B16" s="9" t="inlineStr">
        <is>
          <t>Source paths, sizes, row/column counts, and SHA-256 checksums.</t>
        </is>
      </c>
    </row>
    <row r="18">
      <c r="A18" s="5" t="inlineStr">
        <is>
          <t>Data preservation and provenance</t>
        </is>
      </c>
      <c r="B18" s="6" t="n"/>
      <c r="C18" s="6" t="n"/>
      <c r="D18" s="6" t="n"/>
      <c r="E18" s="6" t="n"/>
      <c r="F18" s="6" t="n"/>
      <c r="G18" s="6" t="n"/>
      <c r="H18" s="6" t="n"/>
    </row>
    <row r="19" ht="42" customHeight="1">
      <c r="A19" s="7" t="inlineStr">
        <is>
          <t>No experimental value was corrected, rounded, reordered, filtered, or recomputed in the Comparisons, Comparison Origins, or Acceptability raw sheets. Multi-line indicator text (technical coverage, redundancy, collaboration bars) is preserved verbatim, including its original line breaks.</t>
        </is>
      </c>
    </row>
    <row r="20" ht="42" customHeight="1">
      <c r="A20" s="7" t="inlineStr">
        <is>
          <t>Developer identifiers (e.g., "Dev370", "Nilo-467") and anonymized team codes (e.g., "T-9473") are preserved verbatim as source identifiers. The same underlying team may appear under a different anonymized code across repeated presentations; this is an artifact of the blinding procedure re-randomizing codes, not a data error, and is documented in the Comparison Origins sheet.</t>
        </is>
      </c>
    </row>
    <row r="21" ht="42" customHeight="1">
      <c r="A21" s="7" t="inlineStr">
        <is>
          <t>The P9 GA_uniform comparison is genuinely inconsistent across its two raw repeated presentations (Equivalent in C011, GA_uniform chosen in C034). Per the paper (Section VI-E-5 / Results), this was resolved through a recorded member-check to "Equivalent"; the Summary sheet applies that documented resolution explicitly and the raw rows themselves are left unmodified.</t>
        </is>
      </c>
    </row>
    <row r="22" ht="42" customHeight="1">
      <c r="A22" s="7" t="inlineStr">
        <is>
          <t>The response-text variants "Yes with minor changes" and "Yes, with minor changes" both occur verbatim in the source acceptability file (with and without a comma) and are treated as the same category in the Summary tally; both raw strings are preserved as-is in the Acceptability sheet.</t>
        </is>
      </c>
    </row>
    <row r="23" ht="42" customHeight="1">
      <c r="A23" s="7" t="inlineStr">
        <is>
          <t>Authoritative source roots: validação final expert (raw comparison/acceptability workbooks) and REPOSITÓRIOS DOS EXPERIMENTOS (decoded condition cross-reference).</t>
        </is>
      </c>
    </row>
    <row r="24" ht="28" customHeight="1">
      <c r="A24" s="10" t="inlineStr">
        <is>
          <t>This source folder also contains a recorded workshop video, full developer competence/collaboration records, and other RQ5 working files. Before public release, confirm that developer identifiers, project descriptions, free-text comments, and any organization-identifying content are authorized for disclosure.</t>
        </is>
      </c>
      <c r="B24" s="11" t="n"/>
      <c r="C24" s="11" t="n"/>
      <c r="D24" s="11" t="n"/>
      <c r="E24" s="11" t="n"/>
      <c r="F24" s="11" t="n"/>
      <c r="G24" s="11" t="n"/>
      <c r="H24" s="11" t="n"/>
    </row>
  </sheetData>
  <mergeCells count="15">
    <mergeCell ref="A1:H1"/>
    <mergeCell ref="A4:H4"/>
    <mergeCell ref="A18:H18"/>
    <mergeCell ref="A21:H21"/>
    <mergeCell ref="A7:H7"/>
    <mergeCell ref="A20:H20"/>
    <mergeCell ref="A24:H24"/>
    <mergeCell ref="A2:H2"/>
    <mergeCell ref="A10:H10"/>
    <mergeCell ref="A19:H19"/>
    <mergeCell ref="A5:H5"/>
    <mergeCell ref="A23:H23"/>
    <mergeCell ref="A8:H8"/>
    <mergeCell ref="A6:H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</cols>
  <sheetData>
    <row r="1" ht="30" customHeight="1">
      <c r="A1" s="1" t="inlineStr">
        <is>
          <t>12 of 16 Calibrated-GA Teams Were Practically Acceptable, but Pairwise Preference Favored Historical Teams</t>
        </is>
      </c>
      <c r="B1" s="2" t="n"/>
      <c r="C1" s="2" t="n"/>
      <c r="D1" s="2" t="n"/>
      <c r="E1" s="2" t="n"/>
      <c r="F1" s="2" t="n"/>
      <c r="G1" s="2" t="n"/>
      <c r="H1" s="2" t="n"/>
    </row>
    <row r="2" ht="40" customHeight="1">
      <c r="A2" s="3" t="inlineStr">
        <is>
          <t>All tables below are independently recomputed from the raw Comparisons, Comparison Origins, and Acceptability sheets, applying only the paper's documented exclusion (LLM-involving rows) and its documented P9 member-check resolution.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12" t="inlineStr">
        <is>
          <t>Comparison: Calibrated GA vs. Historical Team (16 unique projects, 19 rows incl. 3 repeats)</t>
        </is>
      </c>
    </row>
    <row r="5">
      <c r="A5" s="8" t="inlineStr">
        <is>
          <t>Outcome</t>
        </is>
      </c>
      <c r="B5" s="8" t="inlineStr">
        <is>
          <t>Projects (of 16)</t>
        </is>
      </c>
      <c r="C5" s="8" t="inlineStr">
        <is>
          <t>Share</t>
        </is>
      </c>
    </row>
    <row r="6">
      <c r="A6" s="9" t="inlineStr">
        <is>
          <t>Calibrated GA selected</t>
        </is>
      </c>
      <c r="B6" s="9" t="n">
        <v>3</v>
      </c>
      <c r="C6" s="9" t="n">
        <v>18.8</v>
      </c>
    </row>
    <row r="7">
      <c r="A7" s="9" t="inlineStr">
        <is>
          <t>Equivalent</t>
        </is>
      </c>
      <c r="B7" s="9" t="n">
        <v>1</v>
      </c>
      <c r="C7" s="9" t="n">
        <v>6.2</v>
      </c>
    </row>
    <row r="8">
      <c r="A8" s="9" t="inlineStr">
        <is>
          <t>Historical team selected</t>
        </is>
      </c>
      <c r="B8" s="9" t="n">
        <v>12</v>
      </c>
      <c r="C8" s="9" t="n">
        <v>75</v>
      </c>
    </row>
    <row r="10">
      <c r="A10" s="12" t="inlineStr">
        <is>
          <t>Comparison: Calibrated GA vs. GA_uniform (12 unique projects, 14 rows incl. 2 repeats; 4 more projects had identical compositions and were not shown)</t>
        </is>
      </c>
    </row>
    <row r="11">
      <c r="A11" s="8" t="inlineStr">
        <is>
          <t>Outcome</t>
        </is>
      </c>
      <c r="B11" s="8" t="inlineStr">
        <is>
          <t>Projects (of 12)</t>
        </is>
      </c>
      <c r="C11" s="8" t="inlineStr">
        <is>
          <t>Share</t>
        </is>
      </c>
    </row>
    <row r="12">
      <c r="A12" s="9" t="inlineStr">
        <is>
          <t>Calibrated GA selected</t>
        </is>
      </c>
      <c r="B12" s="9" t="n">
        <v>2</v>
      </c>
      <c r="C12" s="9" t="n">
        <v>16.7</v>
      </c>
    </row>
    <row r="13">
      <c r="A13" s="9" t="inlineStr">
        <is>
          <t>Equivalent</t>
        </is>
      </c>
      <c r="B13" s="9" t="n">
        <v>5</v>
      </c>
      <c r="C13" s="9" t="n">
        <v>41.7</v>
      </c>
    </row>
    <row r="14">
      <c r="A14" s="9" t="inlineStr">
        <is>
          <t>GA_uniform selected</t>
        </is>
      </c>
      <c r="B14" s="9" t="n">
        <v>5</v>
      </c>
      <c r="C14" s="9" t="n">
        <v>41.7</v>
      </c>
    </row>
    <row r="16">
      <c r="A16" s="12" t="inlineStr">
        <is>
          <t>Isolated acceptability of the 16 calibrated-GA teams</t>
        </is>
      </c>
    </row>
    <row r="17">
      <c r="A17" s="8" t="inlineStr">
        <is>
          <t>Outcome</t>
        </is>
      </c>
      <c r="B17" s="8" t="inlineStr">
        <is>
          <t>Teams (of 16)</t>
        </is>
      </c>
      <c r="C17" s="8" t="inlineStr">
        <is>
          <t>Share</t>
        </is>
      </c>
    </row>
    <row r="18">
      <c r="A18" s="9" t="inlineStr">
        <is>
          <t>Staffable as-is</t>
        </is>
      </c>
      <c r="B18" s="9" t="n">
        <v>9</v>
      </c>
      <c r="C18" s="9" t="n">
        <v>56.2</v>
      </c>
    </row>
    <row r="19">
      <c r="A19" s="9" t="inlineStr">
        <is>
          <t>Staffable with minor changes</t>
        </is>
      </c>
      <c r="B19" s="9" t="n">
        <v>3</v>
      </c>
      <c r="C19" s="9" t="n">
        <v>18.8</v>
      </c>
    </row>
    <row r="20">
      <c r="A20" s="9" t="inlineStr">
        <is>
          <t>Not staffable</t>
        </is>
      </c>
      <c r="B20" s="9" t="n">
        <v>4</v>
      </c>
      <c r="C20" s="9" t="n">
        <v>25</v>
      </c>
    </row>
    <row r="21">
      <c r="A21" s="13" t="inlineStr">
        <is>
          <t>Practical acceptance (as-is + minor changes)</t>
        </is>
      </c>
      <c r="B21" s="13" t="n">
        <v>12</v>
      </c>
      <c r="C21" s="13" t="n">
        <v>75</v>
      </c>
    </row>
    <row r="23">
      <c r="A23" s="5" t="inlineStr">
        <is>
          <t>Interpretation</t>
        </is>
      </c>
      <c r="B23" s="6" t="n"/>
      <c r="C23" s="6" t="n"/>
      <c r="D23" s="6" t="n"/>
      <c r="E23" s="6" t="n"/>
      <c r="F23" s="6" t="n"/>
      <c r="G23" s="6" t="n"/>
      <c r="H23" s="6" t="n"/>
    </row>
    <row r="24" ht="48" customHeight="1">
      <c r="A24" s="7" t="inlineStr">
        <is>
          <t>The two evidence layers diverge. In isolation, 75.0% of calibrated-GA teams (12/16) were judged staffable as-is or with minor adjustments. In blinded pairwise judgement, the participant selected the calibrated GA over the historical team in only 3/16 unique comparisons and over GA_uniform in only 2/12, generally preferring the historical or uniform-GA alternative instead. Nine of sixteen projects had calibrated-GA and GA_uniform outputs that were either compositionally identical (4) or judged equivalent (5).</t>
        </is>
      </c>
    </row>
    <row r="25" ht="42" customHeight="1">
      <c r="A25" s="10" t="inlineStr">
        <is>
          <t>The historical comparison is affected by a requirement-reconstruction threat documented in the paper: 2025 project requirements were reconstructed from the historical team's own aggregate competences, which structurally guarantees historical technical coverage. This threat does not apply to the calibrated-vs-uniform comparison, since both GA conditions received identical requirements, candidates, and constraints.</t>
        </is>
      </c>
      <c r="B25" s="11" t="n"/>
      <c r="C25" s="11" t="n"/>
      <c r="D25" s="11" t="n"/>
      <c r="E25" s="11" t="n"/>
      <c r="F25" s="11" t="n"/>
      <c r="G25" s="11" t="n"/>
      <c r="H25" s="11" t="n"/>
    </row>
  </sheetData>
  <mergeCells count="5">
    <mergeCell ref="A25:H25"/>
    <mergeCell ref="A24:H24"/>
    <mergeCell ref="A2:H2"/>
    <mergeCell ref="A1:H1"/>
    <mergeCell ref="A23:H2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30" customWidth="1" min="4" max="4"/>
    <col width="40" customWidth="1" min="5" max="5"/>
    <col width="34" customWidth="1" min="6" max="6"/>
    <col width="9" customWidth="1" min="7" max="7"/>
    <col width="30" customWidth="1" min="8" max="8"/>
    <col width="40" customWidth="1" min="9" max="9"/>
    <col width="34" customWidth="1" min="10" max="10"/>
    <col width="12" customWidth="1" min="11" max="11"/>
    <col width="40" customWidth="1" min="12" max="12"/>
  </cols>
  <sheetData>
    <row r="1">
      <c r="A1" s="14" t="inlineStr">
        <is>
          <t>Judge ONLY technical fit and prior collaboration. Set aside availability, cost, seniority and client constraints — Q2 and Q3 are where those belong.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</row>
    <row r="2">
      <c r="A2" s="8" t="inlineStr">
        <is>
          <t>Row</t>
        </is>
      </c>
      <c r="B2" s="8" t="inlineStr">
        <is>
          <t>Project</t>
        </is>
      </c>
      <c r="C2" s="8" t="inlineStr">
        <is>
          <t>Team A</t>
        </is>
      </c>
      <c r="D2" s="8" t="inlineStr">
        <is>
          <t>Team A - Roster</t>
        </is>
      </c>
      <c r="E2" s="8" t="inlineStr">
        <is>
          <t>Team A - Technical Indicators</t>
        </is>
      </c>
      <c r="F2" s="8" t="inlineStr">
        <is>
          <t>Team A - Collaboration Indicators</t>
        </is>
      </c>
      <c r="G2" s="8" t="inlineStr">
        <is>
          <t>Team B</t>
        </is>
      </c>
      <c r="H2" s="8" t="inlineStr">
        <is>
          <t>Team B - Roster</t>
        </is>
      </c>
      <c r="I2" s="8" t="inlineStr">
        <is>
          <t>Team B - Technical Indicators</t>
        </is>
      </c>
      <c r="J2" s="8" t="inlineStr">
        <is>
          <t>Team B - Collaboration Indicators</t>
        </is>
      </c>
      <c r="K2" s="8" t="inlineStr">
        <is>
          <t>Q1. Which Team Better Fits This Project?</t>
        </is>
      </c>
      <c r="L2" s="8" t="inlineStr">
        <is>
          <t>Q2. Anything You Would Add? (optional)</t>
        </is>
      </c>
    </row>
    <row r="3">
      <c r="A3" s="7" t="inlineStr">
        <is>
          <t>EXAMPLE</t>
        </is>
      </c>
      <c r="B3" s="7" t="inlineStr">
        <is>
          <t>P09</t>
        </is>
      </c>
      <c r="C3" s="7" t="inlineStr">
        <is>
          <t>T-4287</t>
        </is>
      </c>
      <c r="D3" s="7" t="inlineStr">
        <is>
          <t>Dev261, Dev481, Dev309, Dev156, Dev011, Dev255, Dev002</t>
        </is>
      </c>
      <c r="E3" s="7" t="inlineStr">
        <is>
          <t xml:space="preserve">TECHNICAL COVERAGE
MUST       4/4  ✓ COMPLETE
SHOULD   3/3  ✓ COMPLETE
COULD     2/3  ⚠ 1 MISSING
REDUNDANCY
⚠ 2/4 MUST covered by 2+ members
</t>
        </is>
      </c>
      <c r="F3" s="7" t="inlineStr">
        <is>
          <t xml:space="preserve">COLLABORATION
PAIRS          9/21  (42%)
████░░░░░░
SHARED PROJECTS
MEAN           1.0 per pair
WITH HISTORY   2.3 per pair
STRONGEST PAIR
8 shared projects
</t>
        </is>
      </c>
      <c r="G3" s="7" t="inlineStr">
        <is>
          <t>T-5435</t>
        </is>
      </c>
      <c r="H3" s="7" t="inlineStr">
        <is>
          <t>Dev460, Dev405, Dev341, Dev080, Dev505, Dev408, Dev464</t>
        </is>
      </c>
      <c r="I3" s="7" t="inlineStr">
        <is>
          <t>TECHNICAL COVERAGE
MUST       3/4  ⚠ 1 MISSING
SHOULD   3/3  ✓ COMPLETE
COULD     2/3  ⚠ 1 MISSING
MISSING MANDATORY REQUIREMENT
⚠ React (ecosystem)
REDUNDANCY
⚠ 1/4 MUST covered by 2+ members</t>
        </is>
      </c>
      <c r="J3" s="7" t="inlineStr">
        <is>
          <t xml:space="preserve">REGISTERED COLLABORATION
Pairs with history: 8/21 (38%)
████░░░░░░
Shared projects: 21 total
Mean among pairs with history: 2.6
Strongest-history pair: 8 project(s)
</t>
        </is>
      </c>
      <c r="K3" s="7" t="inlineStr">
        <is>
          <t>A</t>
        </is>
      </c>
      <c r="L3" s="7" t="inlineStr">
        <is>
          <t>A covers both MUST ecosystems; B is stronger on prior collaboration but I recall two of them were committed elsewhere.</t>
        </is>
      </c>
    </row>
    <row r="4">
      <c r="A4" s="7" t="inlineStr">
        <is>
          <t>C001</t>
        </is>
      </c>
      <c r="B4" s="7" t="inlineStr">
        <is>
          <t>P10</t>
        </is>
      </c>
      <c r="C4" s="7" t="inlineStr">
        <is>
          <t>T-9473</t>
        </is>
      </c>
      <c r="D4" s="7" t="inlineStr">
        <is>
          <t>Tom-183
Mila-27
Davi-290
Gabi-354
Mia-382
Nilo-402
Davi-615
Gabi-94</t>
        </is>
      </c>
      <c r="E4" s="7" t="inlineStr">
        <is>
          <t>TECHNICAL COVERAGE
MUST       1/1   ✓ COMPLETE
SHOULD   27/27   ✓ COMPLETE
COULD     72/72   ✓ COMPLETE
MANDATORY REQUIREMENTS
✓ Web — 8 member(s)
REDUNDANCY
✓ 1/1 MUST covered by 2+ members</t>
        </is>
      </c>
      <c r="F4" s="7" t="inlineStr">
        <is>
          <t>REGISTERED COLLABORATION
Pairs with history: 28/28 (100%)
██████████
Shared projects: 105 total
Mean among pairs with history: 3.8
Strongest-history pair: 8 project(s)</t>
        </is>
      </c>
      <c r="G4" s="7" t="inlineStr">
        <is>
          <t>T-5887</t>
        </is>
      </c>
      <c r="H4" s="7" t="inlineStr">
        <is>
          <t>Davi-615
Teo-257
Enzo-477
Gabi-94
Lino-496
Mia-382
Bela-492
Mila-27</t>
        </is>
      </c>
      <c r="I4" s="7" t="inlineStr">
        <is>
          <t>TECHNICAL COVERAGE
MUST       1/1   ✓ COMPLETE
SHOULD   26/27   ⚠ 1 MISSING
COULD     39/72   ⚠ 33 MISSING
MANDATORY REQUIREMENTS
✓ Web — 7 member(s)
REDUNDANCY
✓ 1/1 MUST covered by 2+ members</t>
        </is>
      </c>
      <c r="J4" s="7" t="inlineStr">
        <is>
          <t>REGISTERED COLLABORATION
Pairs with history: 28/28 (100%)
██████████
Shared projects: 128 total
Mean among pairs with history: 4.6
Strongest-history pair: 8 project(s)</t>
        </is>
      </c>
      <c r="K4" s="7" t="inlineStr">
        <is>
          <t>A</t>
        </is>
      </c>
      <c r="L4" s="7" t="inlineStr">
        <is>
          <t>Escolhi a equipe A por perfil mais equilibrado entre cobertura técnica e colaboração.</t>
        </is>
      </c>
    </row>
    <row r="5">
      <c r="A5" s="7" t="inlineStr">
        <is>
          <t>C002</t>
        </is>
      </c>
      <c r="B5" s="7" t="inlineStr">
        <is>
          <t>P5</t>
        </is>
      </c>
      <c r="C5" s="7" t="inlineStr">
        <is>
          <t>T-3745</t>
        </is>
      </c>
      <c r="D5" s="7" t="inlineStr">
        <is>
          <t>Mila-27
Mia-317
Maia-351
Gil-516</t>
        </is>
      </c>
      <c r="E5" s="7" t="inlineStr">
        <is>
          <t>TECHNICAL COVERAGE
MUST       1/1   ✓ COMPLETE
SHOULD   8/8   ✓ COMPLETE
COULD     34/34   ✓ COMPLETE
MANDATORY REQUIREMENTS
✓ Web — 4 member(s)
REDUNDANCY
✓ 1/1 MUST covered by 2+ members</t>
        </is>
      </c>
      <c r="F5" s="7" t="inlineStr">
        <is>
          <t>REGISTERED COLLABORATION
Pairs with history: 6/6 (100%)
██████████
Shared projects: 43 total
Mean among pairs with history: 7.2
Strongest-history pair: 22 project(s)</t>
        </is>
      </c>
      <c r="G5" s="7" t="inlineStr">
        <is>
          <t>T-2822</t>
        </is>
      </c>
      <c r="H5" s="7" t="inlineStr">
        <is>
          <t>Nilo-467
Lara-415
Ravi-398
Mel-316</t>
        </is>
      </c>
      <c r="I5" s="7" t="inlineStr">
        <is>
          <t>TECHNICAL COVERAGE
MUST       1/1   ✓ COMPLETE
SHOULD   5/8   ⚠ 3 MISSING
COULD     21/34   ⚠ 13 MISSING
MANDATORY REQUIREMENTS
✓ Web — 2 member(s)
REDUNDANCY
✓ 1/1 MUST covered by 2+ members</t>
        </is>
      </c>
      <c r="J5" s="7" t="inlineStr">
        <is>
          <t>REGISTERED COLLABORATION
Pairs with history: 6/6 (100%)
██████████
Shared projects: 33 total
Mean among pairs with history: 5.5
Strongest-history pair: 8 project(s)</t>
        </is>
      </c>
      <c r="K5" s="7" t="inlineStr">
        <is>
          <t>A</t>
        </is>
      </c>
      <c r="L5" s="7" t="inlineStr">
        <is>
          <t>Escolhi a equipe A por perfil mais equilibrado entre cobertura técnica e colaboração.</t>
        </is>
      </c>
    </row>
    <row r="6">
      <c r="A6" s="7" t="inlineStr">
        <is>
          <t>C003</t>
        </is>
      </c>
      <c r="B6" s="7" t="inlineStr">
        <is>
          <t>P16</t>
        </is>
      </c>
      <c r="C6" s="7" t="inlineStr">
        <is>
          <t>T-6812</t>
        </is>
      </c>
      <c r="D6" s="7" t="inlineStr">
        <is>
          <t>Ivo-265
Ceci-363
Max-509
Tina-620
Mila-677
Lila-692
Maya-725
Gael-495
Nilo-402</t>
        </is>
      </c>
      <c r="E6" s="7" t="inlineStr">
        <is>
          <t>TECHNICAL COVERAGE
MUST       — NOT DEFINED
SHOULD   12/12   ✓ COMPLETE
COULD     57/57   ✓ COMPLETE
MANDATORY REQUIREMENTS
No MUST requirement defined.
REDUNDANCY
Not applicable</t>
        </is>
      </c>
      <c r="F6" s="7" t="inlineStr">
        <is>
          <t>REGISTERED COLLABORATION
Pairs with history: 24/36 (67%)
███████░░░
Shared projects: 48 total
Mean among pairs with history: 2.0
Strongest-history pair: 4 project(s)</t>
        </is>
      </c>
      <c r="G6" s="7" t="inlineStr">
        <is>
          <t>T-9373</t>
        </is>
      </c>
      <c r="H6" s="7" t="inlineStr">
        <is>
          <t>Mia-317
Iris-81
Mel-316
Nilo-467
Lara-415
Jade-370
Ravi-398
Leo-336
Enzo-282</t>
        </is>
      </c>
      <c r="I6" s="7" t="inlineStr">
        <is>
          <t>TECHNICAL COVERAGE
MUST       — NOT DEFINED
SHOULD   10/12   ⚠ 2 MISSING
COULD     33/57   ⚠ 24 MISSING
MANDATORY REQUIREMENTS
No MUST requirement defined.
REDUNDANCY
Not applicable</t>
        </is>
      </c>
      <c r="J6" s="7" t="inlineStr">
        <is>
          <t>REGISTERED COLLABORATION
Pairs with history: 36/36 (100%)
██████████
Shared projects: 201 total
Mean among pairs with history: 5.6
Strongest-history pair: 12 project(s)</t>
        </is>
      </c>
      <c r="K6" s="7" t="inlineStr">
        <is>
          <t>B</t>
        </is>
      </c>
      <c r="L6" s="7" t="inlineStr">
        <is>
          <t>Escolhi a equipe B por histórico de colaboração mais consistente.</t>
        </is>
      </c>
    </row>
    <row r="7">
      <c r="A7" s="7" t="inlineStr">
        <is>
          <t>C004</t>
        </is>
      </c>
      <c r="B7" s="7" t="inlineStr">
        <is>
          <t>P4</t>
        </is>
      </c>
      <c r="C7" s="7" t="inlineStr">
        <is>
          <t>T-1128</t>
        </is>
      </c>
      <c r="D7" s="7" t="inlineStr">
        <is>
          <t>Gael-105
Nilo-142
Davi-225
Gabi-354
Tina-490
Nilo-532
Yuri-551
Nara-686
Tito-728</t>
        </is>
      </c>
      <c r="E7" s="7" t="inlineStr">
        <is>
          <t>TECHNICAL COVERAGE
MUST       2/2 CONFIRMED*   ✓ COMPLETE
SHOULD   17/17 CONFIRMED*   ✓ COMPLETE
COULD     79/79 CONFIRMED*   ✓ COMPLETE
MANDATORY REQUIREMENTS
✓ Web — ≥8 member(s)
✓ AWS — ≥8 member(s)
REDUNDANCY
✓ 2/2 MUST covered by 2+ members*</t>
        </is>
      </c>
      <c r="F7" s="7" t="inlineStr">
        <is>
          <t>REGISTERED COLLABORATION
Pairs with history: 36/36 (100%)
██████████
Shared projects: 50 total
Mean among pairs with history: 1.4
Strongest-history pair: 7 project(s)</t>
        </is>
      </c>
      <c r="G7" s="7" t="inlineStr">
        <is>
          <t>T-2703</t>
        </is>
      </c>
      <c r="H7" s="7" t="inlineStr">
        <is>
          <t>Bela-492
Teo-257
Lino-496
Gabi-94
Mia-382
Enzo-477
Mila-27
Jade-500
Davi-615</t>
        </is>
      </c>
      <c r="I7" s="7" t="inlineStr">
        <is>
          <t>TECHNICAL COVERAGE
MUST       2/2   ✓ COMPLETE
SHOULD   15/17   ⚠ 2 MISSING
COULD     43/79   ⚠ 36 MISSING
MANDATORY REQUIREMENTS
✓ Web — 8 member(s)
✓ AWS — 7 member(s)
REDUNDANCY
✓ 2/2 MUST covered by 2+ members</t>
        </is>
      </c>
      <c r="J7" s="7" t="inlineStr">
        <is>
          <t>REGISTERED COLLABORATION
Pairs with history: 36/36 (100%)
██████████
Shared projects: 184 total
Mean among pairs with history: 5.1
Strongest-history pair: 22 project(s)</t>
        </is>
      </c>
      <c r="K7" s="7" t="inlineStr">
        <is>
          <t>A</t>
        </is>
      </c>
      <c r="L7" s="7" t="inlineStr">
        <is>
          <t>Escolhi a equipe A por perfil mais equilibrado entre cobertura técnica e colaboração.</t>
        </is>
      </c>
    </row>
    <row r="8">
      <c r="A8" s="7" t="inlineStr">
        <is>
          <t>C005</t>
        </is>
      </c>
      <c r="B8" s="7" t="inlineStr">
        <is>
          <t>P14</t>
        </is>
      </c>
      <c r="C8" s="7" t="inlineStr">
        <is>
          <t>T-2098</t>
        </is>
      </c>
      <c r="D8" s="7" t="inlineStr">
        <is>
          <t>Rosa-359
Lara-220
Ivan-357
Eli-503</t>
        </is>
      </c>
      <c r="E8" s="7" t="inlineStr">
        <is>
          <t>TECHNICAL COVERAGE
MUST       4/4   ✓ COMPLETE
SHOULD   4/4   ✓ COMPLETE
COULD     23/45   ⚠ 22 MISSING
MANDATORY REQUIREMENTS
✓ Web — 4 member(s)
✓ Angular — 4 member(s)
✓ Progressive Web App (PWA) — 4 member(s)
✓ CSS — 3 member(s)
REDUNDANCY
✓ 4/4 MUST covered by 2+ members</t>
        </is>
      </c>
      <c r="F8" s="7" t="inlineStr">
        <is>
          <t>REGISTERED COLLABORATION
Pairs with history: 6/6 (100%)
██████████
Shared projects: 28 total
Mean among pairs with history: 4.7
Strongest-history pair: 6 project(s)</t>
        </is>
      </c>
      <c r="G8" s="7" t="inlineStr">
        <is>
          <t>T-5194</t>
        </is>
      </c>
      <c r="H8" s="7" t="inlineStr">
        <is>
          <t>Tito-468
Liz-637
Sam-705
Gabi-744</t>
        </is>
      </c>
      <c r="I8" s="7" t="inlineStr">
        <is>
          <t>TECHNICAL COVERAGE
MUST       4/4 CONFIRMED*   ✓ COMPLETE
SHOULD   4/4 CONFIRMED*   ✓ COMPLETE
COULD     45/45 CONFIRMED*   ✓ COMPLETE
MANDATORY REQUIREMENTS
✓ Web — ≥3 member(s)
✓ Angular — ≥3 member(s)
✓ Progressive Web App (PWA) — ≥3 member(s)
✓ CSS — ≥3 member(s)
REDUNDANCY
✓ 4/4 MUST covered by 2+ members*</t>
        </is>
      </c>
      <c r="J8" s="7" t="inlineStr">
        <is>
          <t>REGISTERED COLLABORATION
Pairs with history: 6/6 (100%)
██████████
Shared projects: 6 total
Mean among pairs with history: 1.0
Strongest-history pair: 1 project(s)</t>
        </is>
      </c>
      <c r="K8" s="7" t="inlineStr">
        <is>
          <t>A</t>
        </is>
      </c>
      <c r="L8" s="7" t="inlineStr">
        <is>
          <t>Escolhi a equipe A por histórico de colaboração mais consistente.</t>
        </is>
      </c>
    </row>
    <row r="9">
      <c r="A9" s="7" t="inlineStr">
        <is>
          <t>C006</t>
        </is>
      </c>
      <c r="B9" s="7" t="inlineStr">
        <is>
          <t>P4</t>
        </is>
      </c>
      <c r="C9" s="7" t="inlineStr">
        <is>
          <t>T-2703</t>
        </is>
      </c>
      <c r="D9" s="7" t="inlineStr">
        <is>
          <t>Bela-492
Teo-257
Lino-496
Gabi-94
Mia-382
Enzo-477
Mila-27
Jade-500
Davi-615</t>
        </is>
      </c>
      <c r="E9" s="7" t="inlineStr">
        <is>
          <t>TECHNICAL COVERAGE
MUST       2/2   ✓ COMPLETE
SHOULD   15/17   ⚠ 2 MISSING
COULD     43/79   ⚠ 36 MISSING
MANDATORY REQUIREMENTS
✓ Web — 8 member(s)
✓ AWS — 7 member(s)
REDUNDANCY
✓ 2/2 MUST covered by 2+ members</t>
        </is>
      </c>
      <c r="F9" s="7" t="inlineStr">
        <is>
          <t>REGISTERED COLLABORATION
Pairs with history: 36/36 (100%)
██████████
Shared projects: 184 total
Mean among pairs with history: 5.1
Strongest-history pair: 22 project(s)</t>
        </is>
      </c>
      <c r="G9" s="7" t="inlineStr">
        <is>
          <t>T-1128</t>
        </is>
      </c>
      <c r="H9" s="7" t="inlineStr">
        <is>
          <t>Gael-105
Nilo-142
Davi-225
Gabi-354
Tina-490
Nilo-532
Yuri-551
Nara-686
Tito-728</t>
        </is>
      </c>
      <c r="I9" s="7" t="inlineStr">
        <is>
          <t>TECHNICAL COVERAGE
MUST       2/2 CONFIRMED*   ✓ COMPLETE
SHOULD   17/17 CONFIRMED*   ✓ COMPLETE
COULD     79/79 CONFIRMED*   ✓ COMPLETE
MANDATORY REQUIREMENTS
✓ Web — ≥8 member(s)
✓ AWS — ≥8 member(s)
REDUNDANCY
✓ 2/2 MUST covered by 2+ members*</t>
        </is>
      </c>
      <c r="J9" s="7" t="inlineStr">
        <is>
          <t>REGISTERED COLLABORATION
Pairs with history: 36/36 (100%)
██████████
Shared projects: 50 total
Mean among pairs with history: 1.4
Strongest-history pair: 7 project(s)</t>
        </is>
      </c>
      <c r="K9" s="7" t="inlineStr">
        <is>
          <t>B</t>
        </is>
      </c>
      <c r="L9" s="7" t="inlineStr">
        <is>
          <t>Escolhi a equipe B por perfil mais equilibrado entre cobertura técnica e colaboração.</t>
        </is>
      </c>
    </row>
    <row r="10">
      <c r="A10" s="7" t="inlineStr">
        <is>
          <t>C007</t>
        </is>
      </c>
      <c r="B10" s="7" t="inlineStr">
        <is>
          <t>P8</t>
        </is>
      </c>
      <c r="C10" s="7" t="inlineStr">
        <is>
          <t>T-1457</t>
        </is>
      </c>
      <c r="D10" s="7" t="inlineStr">
        <is>
          <t>Jade-370
Ravi-398
Lara-415
Leo-336
Iris-81</t>
        </is>
      </c>
      <c r="E10" s="7" t="inlineStr">
        <is>
          <t>TECHNICAL COVERAGE
MUST       2/2   ✓ COMPLETE
SHOULD   17/18   ⚠ 1 MISSING
COULD     15/32   ⚠ 17 MISSING
MANDATORY REQUIREMENTS
✓ Web — 3 member(s)
✓ AWS — 2 member(s)
REDUNDANCY
✓ 2/2 MUST covered by 2+ members</t>
        </is>
      </c>
      <c r="F10" s="7" t="inlineStr">
        <is>
          <t>REGISTERED COLLABORATION
Pairs with history: 10/10 (100%)
██████████
Shared projects: 46 total
Mean among pairs with history: 4.6
Strongest-history pair: 6 project(s)</t>
        </is>
      </c>
      <c r="G10" s="7" t="inlineStr">
        <is>
          <t>T-7723</t>
        </is>
      </c>
      <c r="H10" s="7" t="inlineStr">
        <is>
          <t>Lara-415
Jade-370
Leo-336
Iris-81
Enzo-282</t>
        </is>
      </c>
      <c r="I10" s="7" t="inlineStr">
        <is>
          <t>TECHNICAL COVERAGE
MUST       2/2   ✓ COMPLETE
SHOULD   16/18   ⚠ 2 MISSING
COULD     15/32   ⚠ 17 MISSING
MANDATORY REQUIREMENTS
✓ Web — 4 member(s)
✓ AWS — 2 member(s)
REDUNDANCY
✓ 2/2 MUST covered by 2+ members</t>
        </is>
      </c>
      <c r="J10" s="7" t="inlineStr">
        <is>
          <t>REGISTERED COLLABORATION
Pairs with history: 10/10 (100%)
██████████
Shared projects: 54 total
Mean among pairs with history: 5.4
Strongest-history pair: 7 project(s)</t>
        </is>
      </c>
      <c r="K10" s="7" t="inlineStr">
        <is>
          <t>B</t>
        </is>
      </c>
      <c r="L10" s="7" t="inlineStr">
        <is>
          <t>Escolhi a equipe B por perfil mais equilibrado entre cobertura técnica e colaboração.</t>
        </is>
      </c>
    </row>
    <row r="11">
      <c r="A11" s="7" t="inlineStr">
        <is>
          <t>C008</t>
        </is>
      </c>
      <c r="B11" s="7" t="inlineStr">
        <is>
          <t>P4</t>
        </is>
      </c>
      <c r="C11" s="7" t="inlineStr">
        <is>
          <t>T-2703</t>
        </is>
      </c>
      <c r="D11" s="7" t="inlineStr">
        <is>
          <t>Bela-492
Teo-257
Lino-496
Gabi-94
Mia-382
Enzo-477
Mila-27
Jade-500
Davi-615</t>
        </is>
      </c>
      <c r="E11" s="7" t="inlineStr">
        <is>
          <t>TECHNICAL COVERAGE
MUST       2/2   ✓ COMPLETE
SHOULD   15/17   ⚠ 2 MISSING
COULD     43/79   ⚠ 36 MISSING
MANDATORY REQUIREMENTS
✓ Web — 8 member(s)
✓ AWS — 7 member(s)
REDUNDANCY
✓ 2/2 MUST covered by 2+ members</t>
        </is>
      </c>
      <c r="F11" s="7" t="inlineStr">
        <is>
          <t>REGISTERED COLLABORATION
Pairs with history: 36/36 (100%)
██████████
Shared projects: 184 total
Mean among pairs with history: 5.1
Strongest-history pair: 22 project(s)</t>
        </is>
      </c>
      <c r="G11" s="7" t="inlineStr">
        <is>
          <t>T-5371</t>
        </is>
      </c>
      <c r="H11" s="7" t="inlineStr">
        <is>
          <t>Gael-105
Nilo-142
Gabi-354
Tina-490
Nilo-532
Yuri-551
Nara-686
Tito-728
Tom-183</t>
        </is>
      </c>
      <c r="I11" s="7" t="inlineStr">
        <is>
          <t>TECHNICAL COVERAGE
MUST       2/2   ✓ COMPLETE
SHOULD   17/17   ✓ COMPLETE
COULD     79/79   ✓ COMPLETE
MANDATORY REQUIREMENTS
✓ Web — 9 member(s)
✓ AWS — 9 member(s)
REDUNDANCY
✓ 2/2 MUST covered by 2+ members</t>
        </is>
      </c>
      <c r="J11" s="7" t="inlineStr">
        <is>
          <t>REGISTERED COLLABORATION
Pairs with history: 32/36 (89%)
█████████░
Shared projects: 40 total
Mean among pairs with history: 1.3
Strongest-history pair: 4 project(s)</t>
        </is>
      </c>
      <c r="K11" s="7" t="inlineStr">
        <is>
          <t>A</t>
        </is>
      </c>
      <c r="L11" s="7" t="inlineStr">
        <is>
          <t>Escolhi a equipe A por histórico de colaboração mais consistente.</t>
        </is>
      </c>
    </row>
    <row r="12">
      <c r="A12" s="7" t="inlineStr">
        <is>
          <t>C009</t>
        </is>
      </c>
      <c r="B12" s="7" t="inlineStr">
        <is>
          <t>P3</t>
        </is>
      </c>
      <c r="C12" s="7" t="inlineStr">
        <is>
          <t>T-6676</t>
        </is>
      </c>
      <c r="D12" s="7" t="inlineStr">
        <is>
          <t>Lara-415
Jade-370
Enzo-282
Leo-336
Iris-211</t>
        </is>
      </c>
      <c r="E12" s="7" t="inlineStr">
        <is>
          <t>TECHNICAL COVERAGE
MUST       3/3   ✓ COMPLETE
SHOULD   6/15   ⚠ 9 MISSING
COULD     23/50   ⚠ 27 MISSING
MANDATORY REQUIREMENTS
✓ Cloud — 3 member(s)
✓ AWS — 2 member(s)
✓ Docker — 2 member(s)
REDUNDANCY
✓ 3/3 MUST covered by 2+ members</t>
        </is>
      </c>
      <c r="F12" s="7" t="inlineStr">
        <is>
          <t>REGISTERED COLLABORATION
Pairs with history: 9/10 (90%)
█████████░
Shared projects: 44 total
Mean among pairs with history: 4.9
Strongest-history pair: 7 project(s)</t>
        </is>
      </c>
      <c r="G12" s="7" t="inlineStr">
        <is>
          <t>T-5527</t>
        </is>
      </c>
      <c r="H12" s="7" t="inlineStr">
        <is>
          <t>Sol-241
Jo-453
Zeca-473
Zeca-538
Yara-82</t>
        </is>
      </c>
      <c r="I12" s="7" t="inlineStr">
        <is>
          <t>TECHNICAL COVERAGE
MUST       3/3   ✓ COMPLETE
SHOULD   15/15   ✓ COMPLETE
COULD     50/50   ✓ COMPLETE
MANDATORY REQUIREMENTS
✓ Cloud — 5 member(s)
✓ AWS — 5 member(s)
✓ Docker — 5 member(s)
REDUNDANCY
✓ 3/3 MUST covered by 2+ members</t>
        </is>
      </c>
      <c r="J12" s="7" t="inlineStr">
        <is>
          <t>REGISTERED COLLABORATION
Pairs with history: 10/10 (100%)
██████████
Shared projects: 28 total
Mean among pairs with history: 2.8
Strongest-history pair: 11 project(s)</t>
        </is>
      </c>
      <c r="K12" s="7" t="inlineStr">
        <is>
          <t>B</t>
        </is>
      </c>
      <c r="L12" s="7" t="inlineStr">
        <is>
          <t>Escolhi a equipe B por perfil mais equilibrado entre cobertura técnica e colaboração.</t>
        </is>
      </c>
    </row>
    <row r="13">
      <c r="A13" s="7" t="inlineStr">
        <is>
          <t>C010</t>
        </is>
      </c>
      <c r="B13" s="7" t="inlineStr">
        <is>
          <t>P3</t>
        </is>
      </c>
      <c r="C13" s="7" t="inlineStr">
        <is>
          <t>T-6676</t>
        </is>
      </c>
      <c r="D13" s="7" t="inlineStr">
        <is>
          <t>Lara-415
Jade-370
Enzo-282
Leo-336
Iris-211</t>
        </is>
      </c>
      <c r="E13" s="7" t="inlineStr">
        <is>
          <t>TECHNICAL COVERAGE
MUST       3/3   ✓ COMPLETE
SHOULD   6/15   ⚠ 9 MISSING
COULD     23/50   ⚠ 27 MISSING
MANDATORY REQUIREMENTS
✓ Cloud — 3 member(s)
✓ AWS — 2 member(s)
✓ Docker — 2 member(s)
REDUNDANCY
✓ 3/3 MUST covered by 2+ members</t>
        </is>
      </c>
      <c r="F13" s="7" t="inlineStr">
        <is>
          <t>REGISTERED COLLABORATION
Pairs with history: 9/10 (90%)
█████████░
Shared projects: 44 total
Mean among pairs with history: 4.9
Strongest-history pair: 7 project(s)</t>
        </is>
      </c>
      <c r="G13" s="7" t="inlineStr">
        <is>
          <t>T-4824</t>
        </is>
      </c>
      <c r="H13" s="7" t="inlineStr">
        <is>
          <t>Sol-241
Jo-453
Zeca-473
Zeca-538
Yara-82</t>
        </is>
      </c>
      <c r="I13" s="7" t="inlineStr">
        <is>
          <t>TECHNICAL COVERAGE
MUST       3/3   ✓ COMPLETE
SHOULD   15/15   ✓ COMPLETE
COULD     50/50   ✓ COMPLETE
MANDATORY REQUIREMENTS
✓ Cloud — 5 member(s)
✓ AWS — 5 member(s)
✓ Docker — 5 member(s)
REDUNDANCY
✓ 3/3 MUST covered by 2+ members</t>
        </is>
      </c>
      <c r="J13" s="7" t="inlineStr">
        <is>
          <t>REGISTERED COLLABORATION
Pairs with history: 10/10 (100%)
██████████
Shared projects: 28 total
Mean among pairs with history: 2.8
Strongest-history pair: 11 project(s)</t>
        </is>
      </c>
      <c r="K13" s="7" t="inlineStr">
        <is>
          <t>B</t>
        </is>
      </c>
      <c r="L13" s="7" t="inlineStr">
        <is>
          <t>Escolhi a equipe B por perfil mais equilibrado entre cobertura técnica e colaboração.</t>
        </is>
      </c>
    </row>
    <row r="14">
      <c r="A14" s="7" t="inlineStr">
        <is>
          <t>C011</t>
        </is>
      </c>
      <c r="B14" s="7" t="inlineStr">
        <is>
          <t>P9</t>
        </is>
      </c>
      <c r="C14" s="7" t="inlineStr">
        <is>
          <t>T-1384</t>
        </is>
      </c>
      <c r="D14" s="7" t="inlineStr">
        <is>
          <t>Davi-290
Mia-382
Gael-560
Teo-647
Gabi-484
Gabi-94</t>
        </is>
      </c>
      <c r="E14" s="7" t="inlineStr">
        <is>
          <t>TECHNICAL COVERAGE
MUST       — NOT DEFINED
SHOULD   4/5   ⚠ 1 MISSING
COULD     30/71   ⚠ 41 MISSING
MANDATORY REQUIREMENTS
No MUST requirement defined.
REDUNDANCY
Not applicable</t>
        </is>
      </c>
      <c r="F14" s="7" t="inlineStr">
        <is>
          <t>REGISTERED COLLABORATION
Pairs with history: 10/15 (67%)
███████░░░
Shared projects: 43 total
Mean among pairs with history: 4.3
Strongest-history pair: 6 project(s)</t>
        </is>
      </c>
      <c r="G14" s="7" t="inlineStr">
        <is>
          <t>T-8573</t>
        </is>
      </c>
      <c r="H14" s="7" t="inlineStr">
        <is>
          <t>Ravi-398
Enzo-282
Maya-335
Lara-415
Leo-336
Nilo-467</t>
        </is>
      </c>
      <c r="I14" s="7" t="inlineStr">
        <is>
          <t>TECHNICAL COVERAGE
MUST       — NOT DEFINED
SHOULD   4/5   ⚠ 1 MISSING
COULD     39/71   ⚠ 32 MISSING
MANDATORY REQUIREMENTS
No MUST requirement defined.
REDUNDANCY
Not applicable</t>
        </is>
      </c>
      <c r="J14" s="7" t="inlineStr">
        <is>
          <t>REGISTERED COLLABORATION
Pairs with history: 15/15 (100%)
██████████
Shared projects: 65 total
Mean among pairs with history: 4.3
Strongest-history pair: 7 project(s)</t>
        </is>
      </c>
      <c r="K14" s="7" t="inlineStr">
        <is>
          <t>B</t>
        </is>
      </c>
      <c r="L14" s="7" t="inlineStr">
        <is>
          <t>Escolhi a equipe B por histórico de colaboração mais consistente.</t>
        </is>
      </c>
    </row>
    <row r="15">
      <c r="A15" s="7" t="inlineStr">
        <is>
          <t>C012</t>
        </is>
      </c>
      <c r="B15" s="7" t="inlineStr">
        <is>
          <t>P2</t>
        </is>
      </c>
      <c r="C15" s="7" t="inlineStr">
        <is>
          <t>T-9068</t>
        </is>
      </c>
      <c r="D15" s="7" t="inlineStr">
        <is>
          <t>Tom-183
Mia-382
Gabi-94
Gael-560
Gabi-484
Nilo-402
Jade-500
Davi-290</t>
        </is>
      </c>
      <c r="E15" s="7" t="inlineStr">
        <is>
          <t>TECHNICAL COVERAGE
MUST       — NOT DEFINED
SHOULD   15/20   ⚠ 5 MISSING
COULD     32/57   ⚠ 25 MISSING
MANDATORY REQUIREMENTS
No MUST requirement defined.
REDUNDANCY
Not applicable</t>
        </is>
      </c>
      <c r="F15" s="7" t="inlineStr">
        <is>
          <t>REGISTERED COLLABORATION
Pairs with history: 28/28 (100%)
██████████
Shared projects: 126 total
Mean among pairs with history: 4.5
Strongest-history pair: 18 project(s)</t>
        </is>
      </c>
      <c r="G15" s="7" t="inlineStr">
        <is>
          <t>T-4526</t>
        </is>
      </c>
      <c r="H15" s="7" t="inlineStr">
        <is>
          <t>Nina-7
Davi-290
Gabi-484
Raul-33
Gabi-94
Gael-560
Mia-447
Nina-397</t>
        </is>
      </c>
      <c r="I15" s="7" t="inlineStr">
        <is>
          <t>TECHNICAL COVERAGE
MUST       — NOT DEFINED
SHOULD   11/20   ⚠ 9 MISSING
COULD     29/57   ⚠ 28 MISSING
MANDATORY REQUIREMENTS
No MUST requirement defined.
REDUNDANCY
Not applicable</t>
        </is>
      </c>
      <c r="J15" s="7" t="inlineStr">
        <is>
          <t>REGISTERED COLLABORATION
Pairs with history: 21/28 (75%)
████████░░
Shared projects: 89 total
Mean among pairs with history: 4.2
Strongest-history pair: 18 project(s)</t>
        </is>
      </c>
      <c r="K15" s="7" t="inlineStr">
        <is>
          <t>A</t>
        </is>
      </c>
      <c r="L15" s="7" t="inlineStr">
        <is>
          <t>Escolhi a equipe A por histórico de colaboração mais consistente.</t>
        </is>
      </c>
    </row>
    <row r="16">
      <c r="A16" s="7" t="inlineStr">
        <is>
          <t>C013</t>
        </is>
      </c>
      <c r="B16" s="7" t="inlineStr">
        <is>
          <t>P16</t>
        </is>
      </c>
      <c r="C16" s="7" t="inlineStr">
        <is>
          <t>T-9373</t>
        </is>
      </c>
      <c r="D16" s="7" t="inlineStr">
        <is>
          <t>Mia-317
Iris-81
Mel-316
Nilo-467
Lara-415
Jade-370
Ravi-398
Leo-336
Enzo-282</t>
        </is>
      </c>
      <c r="E16" s="7" t="inlineStr">
        <is>
          <t>TECHNICAL COVERAGE
MUST       — NOT DEFINED
SHOULD   10/12   ⚠ 2 MISSING
COULD     33/57   ⚠ 24 MISSING
MANDATORY REQUIREMENTS
No MUST requirement defined.
REDUNDANCY
Not applicable</t>
        </is>
      </c>
      <c r="F16" s="7" t="inlineStr">
        <is>
          <t>REGISTERED COLLABORATION
Pairs with history: 36/36 (100%)
██████████
Shared projects: 201 total
Mean among pairs with history: 5.6
Strongest-history pair: 12 project(s)</t>
        </is>
      </c>
      <c r="G16" s="7" t="inlineStr">
        <is>
          <t>T-9137</t>
        </is>
      </c>
      <c r="H16" s="7" t="inlineStr">
        <is>
          <t>Jade-500
Rita-65
Tom-183
Gael-560
Gabi-94
Zoe-181
Davi-290
Ceci-363
Mia-382</t>
        </is>
      </c>
      <c r="I16" s="7" t="inlineStr">
        <is>
          <t>TECHNICAL COVERAGE
MUST       — NOT DEFINED
SHOULD   11/12   ⚠ 1 MISSING
COULD     35/57   ⚠ 22 MISSING
MANDATORY REQUIREMENTS
No MUST requirement defined.
REDUNDANCY
Not applicable</t>
        </is>
      </c>
      <c r="J16" s="7" t="inlineStr">
        <is>
          <t>REGISTERED COLLABORATION
Pairs with history: 36/36 (100%)
██████████
Shared projects: 185 total
Mean among pairs with history: 5.1
Strongest-history pair: 23 project(s)</t>
        </is>
      </c>
      <c r="K16" s="7" t="inlineStr">
        <is>
          <t>B</t>
        </is>
      </c>
      <c r="L16" s="7" t="inlineStr">
        <is>
          <t>Escolhi a equipe B por perfil mais equilibrado entre cobertura técnica e colaboração.</t>
        </is>
      </c>
    </row>
    <row r="17">
      <c r="A17" s="7" t="inlineStr">
        <is>
          <t>C014</t>
        </is>
      </c>
      <c r="B17" s="7" t="inlineStr">
        <is>
          <t>P13</t>
        </is>
      </c>
      <c r="C17" s="7" t="inlineStr">
        <is>
          <t>T-2072</t>
        </is>
      </c>
      <c r="D17" s="7" t="inlineStr">
        <is>
          <t>Mel-316
Ian-700
Zoe-571
Caio-589</t>
        </is>
      </c>
      <c r="E17" s="7" t="inlineStr">
        <is>
          <t>TECHNICAL COVERAGE
MUST       4/4   ✓ COMPLETE
SHOULD   3/3   ✓ COMPLETE
COULD     2/8   ⚠ 6 MISSING
MANDATORY REQUIREMENTS
✓ Hardware — 4 member(s)
✓ NumPy — 2 member(s)
✓ C — 4 member(s)
✓ Python — 4 member(s)
REDUNDANCY
✓ 4/4 MUST covered by 2+ members</t>
        </is>
      </c>
      <c r="F17" s="7" t="inlineStr">
        <is>
          <t>REGISTERED COLLABORATION
Pairs with history: 6/6 (100%)
██████████
Shared projects: 26 total
Mean among pairs with history: 4.3
Strongest-history pair: 6 project(s)</t>
        </is>
      </c>
      <c r="G17" s="7" t="inlineStr">
        <is>
          <t>T-1559</t>
        </is>
      </c>
      <c r="H17" s="7" t="inlineStr">
        <is>
          <t>Caio-589
Jo-583
Miro-498
Ivo-720</t>
        </is>
      </c>
      <c r="I17" s="7" t="inlineStr">
        <is>
          <t>TECHNICAL COVERAGE
MUST       4/4   ✓ COMPLETE
SHOULD   3/3   ✓ COMPLETE
COULD     7/8   ⚠ 1 MISSING
MANDATORY REQUIREMENTS
✓ Hardware — 4 member(s)
✓ NumPy — 3 member(s)
✓ C — 4 member(s)
✓ Python — 4 member(s)
REDUNDANCY
✓ 4/4 MUST covered by 2+ members</t>
        </is>
      </c>
      <c r="J17" s="7" t="inlineStr">
        <is>
          <t>REGISTERED COLLABORATION
Pairs with history: 6/6 (100%)
██████████
Shared projects: 30 total
Mean among pairs with history: 5.0
Strongest-history pair: 6 project(s)</t>
        </is>
      </c>
      <c r="K17" s="7" t="inlineStr">
        <is>
          <t>B</t>
        </is>
      </c>
      <c r="L17" s="7" t="inlineStr">
        <is>
          <t>Escolhi a equipe B por perfil mais equilibrado entre cobertura técnica e colaboração.</t>
        </is>
      </c>
    </row>
    <row r="18">
      <c r="A18" s="7" t="inlineStr">
        <is>
          <t>C015</t>
        </is>
      </c>
      <c r="B18" s="7" t="inlineStr">
        <is>
          <t>P15</t>
        </is>
      </c>
      <c r="C18" s="7" t="inlineStr">
        <is>
          <t>T-9656</t>
        </is>
      </c>
      <c r="D18" s="7" t="inlineStr">
        <is>
          <t>Miro-563
Miro-498
Jo-583
Nilo-467
Ian-570</t>
        </is>
      </c>
      <c r="E18" s="7" t="inlineStr">
        <is>
          <t>TECHNICAL COVERAGE
MUST       — NOT DEFINED
SHOULD   10/23   ⚠ 13 MISSING
COULD     10/31   ⚠ 21 MISSING
MANDATORY REQUIREMENTS
No MUST requirement defined.
REDUNDANCY
Not applicable</t>
        </is>
      </c>
      <c r="F18" s="7" t="inlineStr">
        <is>
          <t>REGISTERED COLLABORATION
Pairs with history: 9/10 (90%)
█████████░
Shared projects: 37 total
Mean among pairs with history: 4.1
Strongest-history pair: 6 project(s)</t>
        </is>
      </c>
      <c r="G18" s="7" t="inlineStr">
        <is>
          <t>T-7475</t>
        </is>
      </c>
      <c r="H18" s="7" t="inlineStr">
        <is>
          <t>Liz-247
Ravi-398
Teo-582
Hugo-608
Sam-705</t>
        </is>
      </c>
      <c r="I18" s="7" t="inlineStr">
        <is>
          <t>TECHNICAL COVERAGE
MUST       — NOT DEFINED
SHOULD   23/23 CONFIRMED*   ✓ COMPLETE
COULD     31/31 CONFIRMED*   ✓ COMPLETE
MANDATORY REQUIREMENTS
No MUST requirement defined.
REDUNDANCY
Not applicable</t>
        </is>
      </c>
      <c r="J18" s="7" t="inlineStr">
        <is>
          <t>REGISTERED COLLABORATION
Pairs with history: 4/10 (40%)
████░░░░░░
Shared projects: 7 total
Mean among pairs with history: 1.8
Strongest-history pair: 3 project(s)</t>
        </is>
      </c>
      <c r="K18" s="7" t="inlineStr">
        <is>
          <t>A</t>
        </is>
      </c>
      <c r="L18" s="7" t="inlineStr">
        <is>
          <t>Escolhi a equipe A por histórico de colaboração mais consistente.</t>
        </is>
      </c>
    </row>
    <row r="19">
      <c r="A19" s="7" t="inlineStr">
        <is>
          <t>C016</t>
        </is>
      </c>
      <c r="B19" s="7" t="inlineStr">
        <is>
          <t>P15</t>
        </is>
      </c>
      <c r="C19" s="7" t="inlineStr">
        <is>
          <t>T-1406</t>
        </is>
      </c>
      <c r="D19" s="7" t="inlineStr">
        <is>
          <t>Liz-247
Ravi-398
Teo-582
Hugo-608
Tom-183</t>
        </is>
      </c>
      <c r="E19" s="7" t="inlineStr">
        <is>
          <t>TECHNICAL COVERAGE
MUST       — NOT DEFINED
SHOULD   23/23   ✓ COMPLETE
COULD     31/31   ✓ COMPLETE
MANDATORY REQUIREMENTS
No MUST requirement defined.
REDUNDANCY
Not applicable</t>
        </is>
      </c>
      <c r="F19" s="7" t="inlineStr">
        <is>
          <t>REGISTERED COLLABORATION
Pairs with history: 3/10 (30%)
███░░░░░░░
Shared projects: 5 total
Mean among pairs with history: 1.7
Strongest-history pair: 3 project(s)</t>
        </is>
      </c>
      <c r="G19" s="7" t="inlineStr">
        <is>
          <t>T-9656</t>
        </is>
      </c>
      <c r="H19" s="7" t="inlineStr">
        <is>
          <t>Miro-563
Miro-498
Jo-583
Nilo-467
Ian-570</t>
        </is>
      </c>
      <c r="I19" s="7" t="inlineStr">
        <is>
          <t>TECHNICAL COVERAGE
MUST       — NOT DEFINED
SHOULD   10/23   ⚠ 13 MISSING
COULD     10/31   ⚠ 21 MISSING
MANDATORY REQUIREMENTS
No MUST requirement defined.
REDUNDANCY
Not applicable</t>
        </is>
      </c>
      <c r="J19" s="7" t="inlineStr">
        <is>
          <t>REGISTERED COLLABORATION
Pairs with history: 9/10 (90%)
█████████░
Shared projects: 37 total
Mean among pairs with history: 4.1
Strongest-history pair: 6 project(s)</t>
        </is>
      </c>
      <c r="K19" s="7" t="inlineStr">
        <is>
          <t>B</t>
        </is>
      </c>
      <c r="L19" s="7" t="inlineStr">
        <is>
          <t>Escolhi a equipe B por histórico de colaboração mais consistente.</t>
        </is>
      </c>
    </row>
    <row r="20">
      <c r="A20" s="7" t="inlineStr">
        <is>
          <t>C017</t>
        </is>
      </c>
      <c r="B20" s="7" t="inlineStr">
        <is>
          <t>P1</t>
        </is>
      </c>
      <c r="C20" s="7" t="inlineStr">
        <is>
          <t>T-6473</t>
        </is>
      </c>
      <c r="D20" s="7" t="inlineStr">
        <is>
          <t>Luiz-324
Rosa-359
Ana-448
Jade-305
Gael-170
Hugo-543
Eli-503
Ana-578
Lara-220</t>
        </is>
      </c>
      <c r="E20" s="7" t="inlineStr">
        <is>
          <t>TECHNICAL COVERAGE
MUST       2/2   ✓ COMPLETE
SHOULD   13/13   ✓ COMPLETE
COULD     38/65   ⚠ 27 MISSING
MANDATORY REQUIREMENTS
✓ Mobile — 8 member(s)
✓ Web — 9 member(s)
REDUNDANCY
✓ 2/2 MUST covered by 2+ members</t>
        </is>
      </c>
      <c r="F20" s="7" t="inlineStr">
        <is>
          <t>REGISTERED COLLABORATION
Pairs with history: 36/36 (100%)
██████████
Shared projects: 160 total
Mean among pairs with history: 4.4
Strongest-history pair: 11 project(s)</t>
        </is>
      </c>
      <c r="G20" s="7" t="inlineStr">
        <is>
          <t>T-2735</t>
        </is>
      </c>
      <c r="H20" s="7" t="inlineStr">
        <is>
          <t>Eli-178
Zeca-18
Mila-27
Jade-435
Mia-447
Mila-482
Jo-63
Zoe-636
Ivo-655</t>
        </is>
      </c>
      <c r="I20" s="7" t="inlineStr">
        <is>
          <t>TECHNICAL COVERAGE
MUST       2/2 CONFIRMED*   ✓ COMPLETE
SHOULD   13/13 CONFIRMED*   ✓ COMPLETE
COULD     65/65 CONFIRMED*   ✓ COMPLETE
MANDATORY REQUIREMENTS
✓ Mobile — ≥8 member(s)
✓ Web — ≥8 member(s)
REDUNDANCY
✓ 2/2 MUST covered by 2+ members*</t>
        </is>
      </c>
      <c r="J20" s="7" t="inlineStr">
        <is>
          <t>REGISTERED COLLABORATION
Pairs with history: 36/36 (100%)
██████████
Shared projects: 152 total
Mean among pairs with history: 4.2
Strongest-history pair: 23 project(s)</t>
        </is>
      </c>
      <c r="K20" s="7" t="inlineStr">
        <is>
          <t>B</t>
        </is>
      </c>
      <c r="L20" s="7" t="inlineStr">
        <is>
          <t>Escolhi a equipe B por perfil mais equilibrado entre cobertura técnica e colaboração.</t>
        </is>
      </c>
    </row>
    <row r="21">
      <c r="A21" s="7" t="inlineStr">
        <is>
          <t>C018</t>
        </is>
      </c>
      <c r="B21" s="7" t="inlineStr">
        <is>
          <t>P2</t>
        </is>
      </c>
      <c r="C21" s="7" t="inlineStr">
        <is>
          <t>T-9319</t>
        </is>
      </c>
      <c r="D21" s="7" t="inlineStr">
        <is>
          <t>Levi-169
Ari-177
Mila-222
Lia-457
Sara-479
Lara-545
Davi-550
Maia-676</t>
        </is>
      </c>
      <c r="E21" s="7" t="inlineStr">
        <is>
          <t>TECHNICAL COVERAGE
MUST       — NOT DEFINED
SHOULD   20/20   ✓ COMPLETE
COULD     57/57   ✓ COMPLETE
MANDATORY REQUIREMENTS
No MUST requirement defined.
REDUNDANCY
Not applicable</t>
        </is>
      </c>
      <c r="F21" s="7" t="inlineStr">
        <is>
          <t>REGISTERED COLLABORATION
Pairs with history: 21/28 (75%)
████████░░
Shared projects: 30 total
Mean among pairs with history: 1.4
Strongest-history pair: 4 project(s)</t>
        </is>
      </c>
      <c r="G21" s="7" t="inlineStr">
        <is>
          <t>T-4526</t>
        </is>
      </c>
      <c r="H21" s="7" t="inlineStr">
        <is>
          <t>Nina-7
Davi-290
Gabi-484
Raul-33
Gabi-94
Gael-560
Mia-447
Nina-397</t>
        </is>
      </c>
      <c r="I21" s="7" t="inlineStr">
        <is>
          <t>TECHNICAL COVERAGE
MUST       — NOT DEFINED
SHOULD   11/20   ⚠ 9 MISSING
COULD     29/57   ⚠ 28 MISSING
MANDATORY REQUIREMENTS
No MUST requirement defined.
REDUNDANCY
Not applicable</t>
        </is>
      </c>
      <c r="J21" s="7" t="inlineStr">
        <is>
          <t>REGISTERED COLLABORATION
Pairs with history: 21/28 (75%)
████████░░
Shared projects: 89 total
Mean among pairs with history: 4.2
Strongest-history pair: 18 project(s)</t>
        </is>
      </c>
      <c r="K21" s="7" t="inlineStr">
        <is>
          <t>A</t>
        </is>
      </c>
      <c r="L21" s="7" t="inlineStr">
        <is>
          <t>Escolhi a equipe A por perfil mais equilibrado entre cobertura técnica e colaboração.</t>
        </is>
      </c>
    </row>
    <row r="22">
      <c r="A22" s="7" t="inlineStr">
        <is>
          <t>C019</t>
        </is>
      </c>
      <c r="B22" s="7" t="inlineStr">
        <is>
          <t>P1</t>
        </is>
      </c>
      <c r="C22" s="7" t="inlineStr">
        <is>
          <t>T-8343</t>
        </is>
      </c>
      <c r="D22" s="7" t="inlineStr">
        <is>
          <t>Eli-178
Mila-27
Jade-435
Mia-447
Mila-482
Jo-63
Zoe-636
Ivo-655
Gael-495</t>
        </is>
      </c>
      <c r="E22" s="7" t="inlineStr">
        <is>
          <t>TECHNICAL COVERAGE
MUST       2/2   ✓ COMPLETE
SHOULD   13/13   ✓ COMPLETE
COULD     65/65   ✓ COMPLETE
MANDATORY REQUIREMENTS
✓ Mobile — 9 member(s)
✓ Web — 9 member(s)
REDUNDANCY
✓ 2/2 MUST covered by 2+ members</t>
        </is>
      </c>
      <c r="F22" s="7" t="inlineStr">
        <is>
          <t>REGISTERED COLLABORATION
Pairs with history: 31/36 (86%)
█████████░
Shared projects: 135 total
Mean among pairs with history: 4.4
Strongest-history pair: 23 project(s)</t>
        </is>
      </c>
      <c r="G22" s="7" t="inlineStr">
        <is>
          <t>T-6473</t>
        </is>
      </c>
      <c r="H22" s="7" t="inlineStr">
        <is>
          <t>Luiz-324
Rosa-359
Ana-448
Jade-305
Gael-170
Hugo-543
Eli-503
Ana-578
Lara-220</t>
        </is>
      </c>
      <c r="I22" s="7" t="inlineStr">
        <is>
          <t>TECHNICAL COVERAGE
MUST       2/2   ✓ COMPLETE
SHOULD   13/13   ✓ COMPLETE
COULD     38/65   ⚠ 27 MISSING
MANDATORY REQUIREMENTS
✓ Mobile — 8 member(s)
✓ Web — 9 member(s)
REDUNDANCY
✓ 2/2 MUST covered by 2+ members</t>
        </is>
      </c>
      <c r="J22" s="7" t="inlineStr">
        <is>
          <t>REGISTERED COLLABORATION
Pairs with history: 36/36 (100%)
██████████
Shared projects: 160 total
Mean among pairs with history: 4.4
Strongest-history pair: 11 project(s)</t>
        </is>
      </c>
      <c r="K22" s="7" t="inlineStr">
        <is>
          <t>B</t>
        </is>
      </c>
      <c r="L22" s="7" t="inlineStr">
        <is>
          <t>Escolhi a equipe B por histórico de colaboração mais consistente.</t>
        </is>
      </c>
    </row>
    <row r="23">
      <c r="A23" s="7" t="inlineStr">
        <is>
          <t>C020</t>
        </is>
      </c>
      <c r="B23" s="7" t="inlineStr">
        <is>
          <t>P8</t>
        </is>
      </c>
      <c r="C23" s="7" t="inlineStr">
        <is>
          <t>T-1457</t>
        </is>
      </c>
      <c r="D23" s="7" t="inlineStr">
        <is>
          <t>Jade-370
Ravi-398
Lara-415
Leo-336
Iris-81</t>
        </is>
      </c>
      <c r="E23" s="7" t="inlineStr">
        <is>
          <t>TECHNICAL COVERAGE
MUST       2/2   ✓ COMPLETE
SHOULD   17/18   ⚠ 1 MISSING
COULD     15/32   ⚠ 17 MISSING
MANDATORY REQUIREMENTS
✓ Web — 3 member(s)
✓ AWS — 2 member(s)
REDUNDANCY
✓ 2/2 MUST covered by 2+ members</t>
        </is>
      </c>
      <c r="F23" s="7" t="inlineStr">
        <is>
          <t>REGISTERED COLLABORATION
Pairs with history: 10/10 (100%)
██████████
Shared projects: 46 total
Mean among pairs with history: 4.6
Strongest-history pair: 6 project(s)</t>
        </is>
      </c>
      <c r="G23" s="7" t="inlineStr">
        <is>
          <t>T-4070</t>
        </is>
      </c>
      <c r="H23" s="7" t="inlineStr">
        <is>
          <t>Rita-520
Theo-656
Ceci-688
Ravi-8
Cora-145</t>
        </is>
      </c>
      <c r="I23" s="7" t="inlineStr">
        <is>
          <t>TECHNICAL COVERAGE
MUST       2/2   ✓ COMPLETE
SHOULD   18/18   ✓ COMPLETE
COULD     32/32   ✓ COMPLETE
MANDATORY REQUIREMENTS
✓ Web — 5 member(s)
✓ AWS — 5 member(s)
REDUNDANCY
✓ 2/2 MUST covered by 2+ members</t>
        </is>
      </c>
      <c r="J23" s="7" t="inlineStr">
        <is>
          <t>REGISTERED COLLABORATION
Pairs with history: 9/10 (90%)
█████████░
Shared projects: 14 total
Mean among pairs with history: 1.6
Strongest-history pair: 3 project(s)</t>
        </is>
      </c>
      <c r="K23" s="7" t="inlineStr">
        <is>
          <t>A</t>
        </is>
      </c>
      <c r="L23" s="7" t="inlineStr">
        <is>
          <t>Escolhi a equipe A por histórico de colaboração mais consistente.</t>
        </is>
      </c>
    </row>
    <row r="24">
      <c r="A24" s="7" t="inlineStr">
        <is>
          <t>C021</t>
        </is>
      </c>
      <c r="B24" s="7" t="inlineStr">
        <is>
          <t>P13</t>
        </is>
      </c>
      <c r="C24" s="7" t="inlineStr">
        <is>
          <t>T-6948</t>
        </is>
      </c>
      <c r="D24" s="7" t="inlineStr">
        <is>
          <t>Jo-583
Ian-700
Ivo-720
Caio-589</t>
        </is>
      </c>
      <c r="E24" s="7" t="inlineStr">
        <is>
          <t>TECHNICAL COVERAGE
MUST       4/4   ✓ COMPLETE
SHOULD   3/3   ✓ COMPLETE
COULD     8/8   ✓ COMPLETE
MANDATORY REQUIREMENTS
✓ Hardware — 4 member(s)
✓ NumPy — 4 member(s)
✓ C — 4 member(s)
✓ Python — 4 member(s)
REDUNDANCY
✓ 4/4 MUST covered by 2+ members</t>
        </is>
      </c>
      <c r="F24" s="7" t="inlineStr">
        <is>
          <t>REGISTERED COLLABORATION
Pairs with history: 6/6 (100%)
██████████
Shared projects: 34 total
Mean among pairs with history: 5.7
Strongest-history pair: 9 project(s)</t>
        </is>
      </c>
      <c r="G24" s="7" t="inlineStr">
        <is>
          <t>T-1559</t>
        </is>
      </c>
      <c r="H24" s="7" t="inlineStr">
        <is>
          <t>Caio-589
Jo-583
Miro-498
Ivo-720</t>
        </is>
      </c>
      <c r="I24" s="7" t="inlineStr">
        <is>
          <t>TECHNICAL COVERAGE
MUST       4/4   ✓ COMPLETE
SHOULD   3/3   ✓ COMPLETE
COULD     7/8   ⚠ 1 MISSING
MANDATORY REQUIREMENTS
✓ Hardware — 4 member(s)
✓ NumPy — 3 member(s)
✓ C — 4 member(s)
✓ Python — 4 member(s)
REDUNDANCY
✓ 4/4 MUST covered by 2+ members</t>
        </is>
      </c>
      <c r="J24" s="7" t="inlineStr">
        <is>
          <t>REGISTERED COLLABORATION
Pairs with history: 6/6 (100%)
██████████
Shared projects: 30 total
Mean among pairs with history: 5.0
Strongest-history pair: 6 project(s)</t>
        </is>
      </c>
      <c r="K24" s="7" t="inlineStr">
        <is>
          <t>A</t>
        </is>
      </c>
      <c r="L24" s="7" t="inlineStr">
        <is>
          <t>Escolhi a equipe A por perfil mais equilibrado entre cobertura técnica e colaboração.</t>
        </is>
      </c>
    </row>
    <row r="25">
      <c r="A25" s="7" t="inlineStr">
        <is>
          <t>C022</t>
        </is>
      </c>
      <c r="B25" s="7" t="inlineStr">
        <is>
          <t>P3</t>
        </is>
      </c>
      <c r="C25" s="7" t="inlineStr">
        <is>
          <t>T-4824</t>
        </is>
      </c>
      <c r="D25" s="7" t="inlineStr">
        <is>
          <t>Sol-241
Jo-453
Zeca-473
Zeca-538
Yara-82</t>
        </is>
      </c>
      <c r="E25" s="7" t="inlineStr">
        <is>
          <t>TECHNICAL COVERAGE
MUST       3/3   ✓ COMPLETE
SHOULD   15/15   ✓ COMPLETE
COULD     50/50   ✓ COMPLETE
MANDATORY REQUIREMENTS
✓ Cloud — 5 member(s)
✓ AWS — 5 member(s)
✓ Docker — 5 member(s)
REDUNDANCY
✓ 3/3 MUST covered by 2+ members</t>
        </is>
      </c>
      <c r="F25" s="7" t="inlineStr">
        <is>
          <t>REGISTERED COLLABORATION
Pairs with history: 10/10 (100%)
██████████
Shared projects: 28 total
Mean among pairs with history: 2.8
Strongest-history pair: 11 project(s)</t>
        </is>
      </c>
      <c r="G25" s="7" t="inlineStr">
        <is>
          <t>T-6676</t>
        </is>
      </c>
      <c r="H25" s="7" t="inlineStr">
        <is>
          <t>Lara-415
Jade-370
Enzo-282
Leo-336
Iris-211</t>
        </is>
      </c>
      <c r="I25" s="7" t="inlineStr">
        <is>
          <t>TECHNICAL COVERAGE
MUST       3/3   ✓ COMPLETE
SHOULD   6/15   ⚠ 9 MISSING
COULD     23/50   ⚠ 27 MISSING
MANDATORY REQUIREMENTS
✓ Cloud — 3 member(s)
✓ AWS — 2 member(s)
✓ Docker — 2 member(s)
REDUNDANCY
✓ 3/3 MUST covered by 2+ members</t>
        </is>
      </c>
      <c r="J25" s="7" t="inlineStr">
        <is>
          <t>REGISTERED COLLABORATION
Pairs with history: 9/10 (90%)
█████████░
Shared projects: 44 total
Mean among pairs with history: 4.9
Strongest-history pair: 7 project(s)</t>
        </is>
      </c>
      <c r="K25" s="7" t="inlineStr">
        <is>
          <t>A</t>
        </is>
      </c>
      <c r="L25" s="7" t="inlineStr">
        <is>
          <t>Escolhi a equipe A por perfil mais equilibrado entre cobertura técnica e colaboração.</t>
        </is>
      </c>
    </row>
    <row r="26">
      <c r="A26" s="7" t="inlineStr">
        <is>
          <t>C023</t>
        </is>
      </c>
      <c r="B26" s="7" t="inlineStr">
        <is>
          <t>P12</t>
        </is>
      </c>
      <c r="C26" s="7" t="inlineStr">
        <is>
          <t>T-7216</t>
        </is>
      </c>
      <c r="D26" s="7" t="inlineStr">
        <is>
          <t>Nilo-467
Ravi-398
Mia-317
Miro-498</t>
        </is>
      </c>
      <c r="E26" s="7" t="inlineStr">
        <is>
          <t>TECHNICAL COVERAGE
MUST       — NOT DEFINED
SHOULD   8/9   ⚠ 1 MISSING
COULD     19/28   ⚠ 9 MISSING
MANDATORY REQUIREMENTS
No MUST requirement defined.
REDUNDANCY
Not applicable</t>
        </is>
      </c>
      <c r="F26" s="7" t="inlineStr">
        <is>
          <t>REGISTERED COLLABORATION
Pairs with history: 6/6 (100%)
██████████
Shared projects: 31 total
Mean among pairs with history: 5.2
Strongest-history pair: 6 project(s)</t>
        </is>
      </c>
      <c r="G26" s="7" t="inlineStr">
        <is>
          <t>T-8599</t>
        </is>
      </c>
      <c r="H26" s="7" t="inlineStr">
        <is>
          <t>Ravi-398
Lara-415
Nilo-467
Bia-458</t>
        </is>
      </c>
      <c r="I26" s="7" t="inlineStr">
        <is>
          <t>TECHNICAL COVERAGE
MUST       — NOT DEFINED
SHOULD   6/9   ⚠ 3 MISSING
COULD     21/28   ⚠ 7 MISSING
MANDATORY REQUIREMENTS
No MUST requirement defined.
REDUNDANCY
Not applicable</t>
        </is>
      </c>
      <c r="J26" s="7" t="inlineStr">
        <is>
          <t>REGISTERED COLLABORATION
Pairs with history: 6/6 (100%)
██████████
Shared projects: 23 total
Mean among pairs with history: 3.8
Strongest-history pair: 6 project(s)</t>
        </is>
      </c>
      <c r="K26" s="7" t="inlineStr">
        <is>
          <t>A</t>
        </is>
      </c>
      <c r="L26" s="7" t="inlineStr">
        <is>
          <t>Escolhi a equipe A por perfil mais equilibrado entre cobertura técnica e colaboração.</t>
        </is>
      </c>
    </row>
    <row r="27">
      <c r="A27" s="7" t="inlineStr">
        <is>
          <t>C024</t>
        </is>
      </c>
      <c r="B27" s="7" t="inlineStr">
        <is>
          <t>P6</t>
        </is>
      </c>
      <c r="C27" s="7" t="inlineStr">
        <is>
          <t>T-4484</t>
        </is>
      </c>
      <c r="D27" s="7" t="inlineStr">
        <is>
          <t>Zoe-311
Jo-453
Rute-483
Tina-490
Levi-494
Liz-637
Emi-114</t>
        </is>
      </c>
      <c r="E27" s="7" t="inlineStr">
        <is>
          <t>TECHNICAL COVERAGE
MUST       2/2   ✓ COMPLETE
SHOULD   19/19   ✓ COMPLETE
COULD     43/43   ✓ COMPLETE
MANDATORY REQUIREMENTS
✓ Android — 7 member(s)
✓ iOS — 7 member(s)
REDUNDANCY
✓ 2/2 MUST covered by 2+ members</t>
        </is>
      </c>
      <c r="F27" s="7" t="inlineStr">
        <is>
          <t>REGISTERED COLLABORATION
Pairs with history: 15/21 (71%)
███████░░░
Shared projects: 55 total
Mean among pairs with history: 3.7
Strongest-history pair: 6 project(s)</t>
        </is>
      </c>
      <c r="G27" s="7" t="inlineStr">
        <is>
          <t>T-4412</t>
        </is>
      </c>
      <c r="H27" s="7" t="inlineStr">
        <is>
          <t>Mia-382
Gabi-94
Nilo-402
Tom-183
Davi-290
Ceci-363
Gabi-484</t>
        </is>
      </c>
      <c r="I27" s="7" t="inlineStr">
        <is>
          <t>TECHNICAL COVERAGE
MUST       2/2   ✓ COMPLETE
SHOULD   16/19   ⚠ 3 MISSING
COULD     24/43   ⚠ 19 MISSING
MANDATORY REQUIREMENTS
✓ Android — 7 member(s)
✓ iOS — 4 member(s)
REDUNDANCY
✓ 2/2 MUST covered by 2+ members</t>
        </is>
      </c>
      <c r="J27" s="7" t="inlineStr">
        <is>
          <t>REGISTERED COLLABORATION
Pairs with history: 21/21 (100%)
██████████
Shared projects: 79 total
Mean among pairs with history: 3.8
Strongest-history pair: 6 project(s)</t>
        </is>
      </c>
      <c r="K27" s="7" t="inlineStr">
        <is>
          <t>B</t>
        </is>
      </c>
      <c r="L27" s="7" t="inlineStr">
        <is>
          <t>Escolhi a equipe B por histórico de colaboração mais consistente.</t>
        </is>
      </c>
    </row>
    <row r="28">
      <c r="A28" s="7" t="inlineStr">
        <is>
          <t>C025</t>
        </is>
      </c>
      <c r="B28" s="7" t="inlineStr">
        <is>
          <t>P1</t>
        </is>
      </c>
      <c r="C28" s="7" t="inlineStr">
        <is>
          <t>T-6473</t>
        </is>
      </c>
      <c r="D28" s="7" t="inlineStr">
        <is>
          <t>Luiz-324
Rosa-359
Ana-448
Jade-305
Gael-170
Hugo-543
Eli-503
Ana-578
Lara-220</t>
        </is>
      </c>
      <c r="E28" s="7" t="inlineStr">
        <is>
          <t>TECHNICAL COVERAGE
MUST       2/2   ✓ COMPLETE
SHOULD   13/13   ✓ COMPLETE
COULD     38/65   ⚠ 27 MISSING
MANDATORY REQUIREMENTS
✓ Mobile — 8 member(s)
✓ Web — 9 member(s)
REDUNDANCY
✓ 2/2 MUST covered by 2+ members</t>
        </is>
      </c>
      <c r="F28" s="7" t="inlineStr">
        <is>
          <t>REGISTERED COLLABORATION
Pairs with history: 36/36 (100%)
██████████
Shared projects: 160 total
Mean among pairs with history: 4.4
Strongest-history pair: 11 project(s)</t>
        </is>
      </c>
      <c r="G28" s="7" t="inlineStr">
        <is>
          <t>T-8343</t>
        </is>
      </c>
      <c r="H28" s="7" t="inlineStr">
        <is>
          <t>Eli-178
Mila-27
Jade-435
Mia-447
Mila-482
Jo-63
Zoe-636
Ivo-655
Gael-495</t>
        </is>
      </c>
      <c r="I28" s="7" t="inlineStr">
        <is>
          <t>TECHNICAL COVERAGE
MUST       2/2   ✓ COMPLETE
SHOULD   13/13   ✓ COMPLETE
COULD     65/65   ✓ COMPLETE
MANDATORY REQUIREMENTS
✓ Mobile — 9 member(s)
✓ Web — 9 member(s)
REDUNDANCY
✓ 2/2 MUST covered by 2+ members</t>
        </is>
      </c>
      <c r="J28" s="7" t="inlineStr">
        <is>
          <t>REGISTERED COLLABORATION
Pairs with history: 31/36 (86%)
█████████░
Shared projects: 135 total
Mean among pairs with history: 4.4
Strongest-history pair: 23 project(s)</t>
        </is>
      </c>
      <c r="K28" s="7" t="inlineStr">
        <is>
          <t>A</t>
        </is>
      </c>
      <c r="L28" s="7" t="inlineStr">
        <is>
          <t>Escolhi a equipe A por histórico de colaboração mais consistente.</t>
        </is>
      </c>
    </row>
    <row r="29">
      <c r="A29" s="7" t="inlineStr">
        <is>
          <t>C026</t>
        </is>
      </c>
      <c r="B29" s="7" t="inlineStr">
        <is>
          <t>P3</t>
        </is>
      </c>
      <c r="C29" s="7" t="inlineStr">
        <is>
          <t>T-5095</t>
        </is>
      </c>
      <c r="D29" s="7" t="inlineStr">
        <is>
          <t>Iris-81
Jade-370
Enzo-282
Leo-336
Lara-415</t>
        </is>
      </c>
      <c r="E29" s="7" t="inlineStr">
        <is>
          <t>TECHNICAL COVERAGE
MUST       3/3   ✓ COMPLETE
SHOULD   5/15   ⚠ 10 MISSING
COULD     19/50   ⚠ 31 MISSING
MANDATORY REQUIREMENTS
✓ Cloud — 3 member(s)
✓ AWS — 2 member(s)
✓ Docker — 2 member(s)
REDUNDANCY
✓ 3/3 MUST covered by 2+ members</t>
        </is>
      </c>
      <c r="F29" s="7" t="inlineStr">
        <is>
          <t>REGISTERED COLLABORATION
Pairs with history: 10/10 (100%)
██████████
Shared projects: 54 total
Mean among pairs with history: 5.4
Strongest-history pair: 7 project(s)</t>
        </is>
      </c>
      <c r="G29" s="7" t="inlineStr">
        <is>
          <t>T-6676</t>
        </is>
      </c>
      <c r="H29" s="7" t="inlineStr">
        <is>
          <t>Lara-415
Jade-370
Enzo-282
Leo-336
Iris-211</t>
        </is>
      </c>
      <c r="I29" s="7" t="inlineStr">
        <is>
          <t>TECHNICAL COVERAGE
MUST       3/3   ✓ COMPLETE
SHOULD   6/15   ⚠ 9 MISSING
COULD     23/50   ⚠ 27 MISSING
MANDATORY REQUIREMENTS
✓ Cloud — 3 member(s)
✓ AWS — 2 member(s)
✓ Docker — 2 member(s)
REDUNDANCY
✓ 3/3 MUST covered by 2+ members</t>
        </is>
      </c>
      <c r="J29" s="7" t="inlineStr">
        <is>
          <t>REGISTERED COLLABORATION
Pairs with history: 9/10 (90%)
█████████░
Shared projects: 44 total
Mean among pairs with history: 4.9
Strongest-history pair: 7 project(s)</t>
        </is>
      </c>
      <c r="K29" s="7" t="inlineStr">
        <is>
          <t>A</t>
        </is>
      </c>
      <c r="L29" s="7" t="inlineStr">
        <is>
          <t>Escolhi a equipe A por histórico de colaboração mais consistente.</t>
        </is>
      </c>
    </row>
    <row r="30">
      <c r="A30" s="7" t="inlineStr">
        <is>
          <t>C027</t>
        </is>
      </c>
      <c r="B30" s="7" t="inlineStr">
        <is>
          <t>P15</t>
        </is>
      </c>
      <c r="C30" s="7" t="inlineStr">
        <is>
          <t>T-9656</t>
        </is>
      </c>
      <c r="D30" s="7" t="inlineStr">
        <is>
          <t>Miro-563
Miro-498
Jo-583
Nilo-467
Ian-570</t>
        </is>
      </c>
      <c r="E30" s="7" t="inlineStr">
        <is>
          <t>TECHNICAL COVERAGE
MUST       — NOT DEFINED
SHOULD   10/23   ⚠ 13 MISSING
COULD     10/31   ⚠ 21 MISSING
MANDATORY REQUIREMENTS
No MUST requirement defined.
REDUNDANCY
Not applicable</t>
        </is>
      </c>
      <c r="F30" s="7" t="inlineStr">
        <is>
          <t>REGISTERED COLLABORATION
Pairs with history: 9/10 (90%)
█████████░
Shared projects: 37 total
Mean among pairs with history: 4.1
Strongest-history pair: 6 project(s)</t>
        </is>
      </c>
      <c r="G30" s="7" t="inlineStr">
        <is>
          <t>T-2273</t>
        </is>
      </c>
      <c r="H30" s="7" t="inlineStr">
        <is>
          <t>Miro-498
Eva-579
Ian-570
Caio-589
Jo-583</t>
        </is>
      </c>
      <c r="I30" s="7" t="inlineStr">
        <is>
          <t>TECHNICAL COVERAGE
MUST       — NOT DEFINED
SHOULD   10/23   ⚠ 13 MISSING
COULD     6/31   ⚠ 25 MISSING
MANDATORY REQUIREMENTS
No MUST requirement defined.
REDUNDANCY
Not applicable</t>
        </is>
      </c>
      <c r="J30" s="7" t="inlineStr">
        <is>
          <t>REGISTERED COLLABORATION
Pairs with history: 10/10 (100%)
██████████
Shared projects: 51 total
Mean among pairs with history: 5.1
Strongest-history pair: 6 project(s)</t>
        </is>
      </c>
      <c r="K30" s="7" t="inlineStr">
        <is>
          <t>B</t>
        </is>
      </c>
      <c r="L30" s="7" t="inlineStr">
        <is>
          <t>Escolhi a equipe B por histórico de colaboração mais consistente.</t>
        </is>
      </c>
    </row>
    <row r="31">
      <c r="A31" s="7" t="inlineStr">
        <is>
          <t>C028</t>
        </is>
      </c>
      <c r="B31" s="7" t="inlineStr">
        <is>
          <t>P9</t>
        </is>
      </c>
      <c r="C31" s="7" t="inlineStr">
        <is>
          <t>T-1384</t>
        </is>
      </c>
      <c r="D31" s="7" t="inlineStr">
        <is>
          <t>Davi-290
Mia-382
Gael-560
Teo-647
Gabi-484
Gabi-94</t>
        </is>
      </c>
      <c r="E31" s="7" t="inlineStr">
        <is>
          <t>TECHNICAL COVERAGE
MUST       — NOT DEFINED
SHOULD   4/5   ⚠ 1 MISSING
COULD     30/71   ⚠ 41 MISSING
MANDATORY REQUIREMENTS
No MUST requirement defined.
REDUNDANCY
Not applicable</t>
        </is>
      </c>
      <c r="F31" s="7" t="inlineStr">
        <is>
          <t>REGISTERED COLLABORATION
Pairs with history: 10/15 (67%)
███████░░░
Shared projects: 43 total
Mean among pairs with history: 4.3
Strongest-history pair: 6 project(s)</t>
        </is>
      </c>
      <c r="G31" s="7" t="inlineStr">
        <is>
          <t>T-6406</t>
        </is>
      </c>
      <c r="H31" s="7" t="inlineStr">
        <is>
          <t>Mila-222
Eva-449
Zeca-473
Bela-492
Mila-742
Nara-751</t>
        </is>
      </c>
      <c r="I31" s="7" t="inlineStr">
        <is>
          <t>TECHNICAL COVERAGE
MUST       — NOT DEFINED
SHOULD   5/5 CONFIRMED*   ✓ COMPLETE
COULD     71/71 CONFIRMED*   ✓ COMPLETE
MANDATORY REQUIREMENTS
No MUST requirement defined.
REDUNDANCY
Not applicable</t>
        </is>
      </c>
      <c r="J31" s="7" t="inlineStr">
        <is>
          <t>REGISTERED COLLABORATION
Pairs with history: 15/15 (100%)
██████████
Shared projects: 22 total
Mean among pairs with history: 1.5
Strongest-history pair: 6 project(s)</t>
        </is>
      </c>
      <c r="K31" s="7" t="inlineStr">
        <is>
          <t>B</t>
        </is>
      </c>
      <c r="L31" s="7" t="inlineStr">
        <is>
          <t>Escolhi a equipe B por histórico de colaboração mais consistente.</t>
        </is>
      </c>
    </row>
    <row r="32">
      <c r="A32" s="7" t="inlineStr">
        <is>
          <t>C029</t>
        </is>
      </c>
      <c r="B32" s="7" t="inlineStr">
        <is>
          <t>P10</t>
        </is>
      </c>
      <c r="C32" s="7" t="inlineStr">
        <is>
          <t>T-9672</t>
        </is>
      </c>
      <c r="D32" s="7" t="inlineStr">
        <is>
          <t>Tom-183
Mila-27
Davi-290
Gabi-354
Mia-382
Nilo-402
Davi-615
Gabi-94</t>
        </is>
      </c>
      <c r="E32" s="7" t="inlineStr">
        <is>
          <t>TECHNICAL COVERAGE
MUST       1/1   ✓ COMPLETE
SHOULD   27/27   ✓ COMPLETE
COULD     72/72   ✓ COMPLETE
MANDATORY REQUIREMENTS
✓ Web — 8 member(s)
REDUNDANCY
✓ 1/1 MUST covered by 2+ members</t>
        </is>
      </c>
      <c r="F32" s="7" t="inlineStr">
        <is>
          <t>REGISTERED COLLABORATION
Pairs with history: 28/28 (100%)
██████████
Shared projects: 105 total
Mean among pairs with history: 3.8
Strongest-history pair: 8 project(s)</t>
        </is>
      </c>
      <c r="G32" s="7" t="inlineStr">
        <is>
          <t>T-5887</t>
        </is>
      </c>
      <c r="H32" s="7" t="inlineStr">
        <is>
          <t>Davi-615
Teo-257
Enzo-477
Gabi-94
Lino-496
Mia-382
Bela-492
Mila-27</t>
        </is>
      </c>
      <c r="I32" s="7" t="inlineStr">
        <is>
          <t>TECHNICAL COVERAGE
MUST       1/1   ✓ COMPLETE
SHOULD   26/27   ⚠ 1 MISSING
COULD     39/72   ⚠ 33 MISSING
MANDATORY REQUIREMENTS
✓ Web — 7 member(s)
REDUNDANCY
✓ 1/1 MUST covered by 2+ members</t>
        </is>
      </c>
      <c r="J32" s="7" t="inlineStr">
        <is>
          <t>REGISTERED COLLABORATION
Pairs with history: 28/28 (100%)
██████████
Shared projects: 128 total
Mean among pairs with history: 4.6
Strongest-history pair: 8 project(s)</t>
        </is>
      </c>
      <c r="K32" s="7" t="inlineStr">
        <is>
          <t>A</t>
        </is>
      </c>
      <c r="L32" s="7" t="inlineStr">
        <is>
          <t>Escolhi a equipe A por perfil mais equilibrado entre cobertura técnica e colaboração.</t>
        </is>
      </c>
    </row>
    <row r="33">
      <c r="A33" s="7" t="inlineStr">
        <is>
          <t>C030</t>
        </is>
      </c>
      <c r="B33" s="7" t="inlineStr">
        <is>
          <t>P11</t>
        </is>
      </c>
      <c r="C33" s="7" t="inlineStr">
        <is>
          <t>T-2948</t>
        </is>
      </c>
      <c r="D33" s="7" t="inlineStr">
        <is>
          <t>Sol-241
Iris-536
Yara-537
Jo-648
Teo-712
Ada-716
Rute-743
Bela-752
Ada-391</t>
        </is>
      </c>
      <c r="E33" s="7" t="inlineStr">
        <is>
          <t>TECHNICAL COVERAGE
MUST       — NOT DEFINED
SHOULD   5/5   ✓ COMPLETE
COULD     56/56   ✓ COMPLETE
MANDATORY REQUIREMENTS
No MUST requirement defined.
REDUNDANCY
Not applicable</t>
        </is>
      </c>
      <c r="F33" s="7" t="inlineStr">
        <is>
          <t>REGISTERED COLLABORATION
Pairs with history: 30/36 (83%)
████████░░
Shared projects: 31 total
Mean among pairs with history: 1.0
Strongest-history pair: 2 project(s)</t>
        </is>
      </c>
      <c r="G33" s="7" t="inlineStr">
        <is>
          <t>T-2548</t>
        </is>
      </c>
      <c r="H33" s="7" t="inlineStr">
        <is>
          <t>Ari-437
Jo-583
Nilo-467
Leo-336
Miro-498
Bia-458
Mia-317
Lara-415
Enzo-282</t>
        </is>
      </c>
      <c r="I33" s="7" t="inlineStr">
        <is>
          <t>TECHNICAL COVERAGE
MUST       — NOT DEFINED
SHOULD   4/5   ⚠ 1 MISSING
COULD     35/56   ⚠ 21 MISSING
MANDATORY REQUIREMENTS
No MUST requirement defined.
REDUNDANCY
Not applicable</t>
        </is>
      </c>
      <c r="J33" s="7" t="inlineStr">
        <is>
          <t>REGISTERED COLLABORATION
Pairs with history: 36/36 (100%)
██████████
Shared projects: 153 total
Mean among pairs with history: 4.3
Strongest-history pair: 9 project(s)</t>
        </is>
      </c>
      <c r="K33" s="7" t="inlineStr">
        <is>
          <t>B</t>
        </is>
      </c>
      <c r="L33" s="7" t="inlineStr">
        <is>
          <t>Escolhi a equipe B por histórico de colaboração mais consistente.</t>
        </is>
      </c>
    </row>
    <row r="34">
      <c r="A34" s="7" t="inlineStr">
        <is>
          <t>C031</t>
        </is>
      </c>
      <c r="B34" s="7" t="inlineStr">
        <is>
          <t>P7</t>
        </is>
      </c>
      <c r="C34" s="7" t="inlineStr">
        <is>
          <t>T-1102</t>
        </is>
      </c>
      <c r="D34" s="7" t="inlineStr">
        <is>
          <t>Ada-326
Gabi-354
Sol-46
Ivo-525
Levi-754</t>
        </is>
      </c>
      <c r="E34" s="7" t="inlineStr">
        <is>
          <t>TECHNICAL COVERAGE
MUST       1/1 CONFIRMED*   ✓ COMPLETE
SHOULD   29/29 CONFIRMED*   ✓ COMPLETE
COULD     40/40 CONFIRMED*   ✓ COMPLETE
MANDATORY REQUIREMENTS
✓ Web — ≥4 member(s)
REDUNDANCY
✓ 1/1 MUST covered by 2+ members*</t>
        </is>
      </c>
      <c r="F34" s="7" t="inlineStr">
        <is>
          <t>REGISTERED COLLABORATION
Pairs with history: 10/10 (100%)
██████████
Shared projects: 20 total
Mean among pairs with history: 2.0
Strongest-history pair: 4 project(s)</t>
        </is>
      </c>
      <c r="G34" s="7" t="inlineStr">
        <is>
          <t>T-8765</t>
        </is>
      </c>
      <c r="H34" s="7" t="inlineStr">
        <is>
          <t>Iris-81
Jade-370
Lara-415
Enzo-282
Leo-336</t>
        </is>
      </c>
      <c r="I34" s="7" t="inlineStr">
        <is>
          <t>TECHNICAL COVERAGE
MUST       1/1   ✓ COMPLETE
SHOULD   12/29   ⚠ 17 MISSING
COULD     15/40   ⚠ 25 MISSING
MANDATORY REQUIREMENTS
✓ Web — 4 member(s)
REDUNDANCY
✓ 1/1 MUST covered by 2+ members</t>
        </is>
      </c>
      <c r="J34" s="7" t="inlineStr">
        <is>
          <t>REGISTERED COLLABORATION
Pairs with history: 10/10 (100%)
██████████
Shared projects: 54 total
Mean among pairs with history: 5.4
Strongest-history pair: 7 project(s)</t>
        </is>
      </c>
      <c r="K34" s="7" t="inlineStr">
        <is>
          <t>A</t>
        </is>
      </c>
      <c r="L34" s="7" t="inlineStr">
        <is>
          <t>Escolhi a equipe A por perfil mais equilibrado entre cobertura técnica e colaboração.</t>
        </is>
      </c>
    </row>
    <row r="35">
      <c r="A35" s="7" t="inlineStr">
        <is>
          <t>C032</t>
        </is>
      </c>
      <c r="B35" s="7" t="inlineStr">
        <is>
          <t>P5</t>
        </is>
      </c>
      <c r="C35" s="7" t="inlineStr">
        <is>
          <t>T-8053</t>
        </is>
      </c>
      <c r="D35" s="7" t="inlineStr">
        <is>
          <t>Jade-370
Lara-415
Leo-336
Ravi-398</t>
        </is>
      </c>
      <c r="E35" s="7" t="inlineStr">
        <is>
          <t>TECHNICAL COVERAGE
MUST       1/1   ✓ COMPLETE
SHOULD   5/8   ⚠ 3 MISSING
COULD     21/34   ⚠ 13 MISSING
MANDATORY REQUIREMENTS
✓ Web — 2 member(s)
REDUNDANCY
✓ 1/1 MUST covered by 2+ members</t>
        </is>
      </c>
      <c r="F35" s="7" t="inlineStr">
        <is>
          <t>REGISTERED COLLABORATION
Pairs with history: 6/6 (100%)
██████████
Shared projects: 32 total
Mean among pairs with history: 5.3
Strongest-history pair: 6 project(s)</t>
        </is>
      </c>
      <c r="G35" s="7" t="inlineStr">
        <is>
          <t>T-2822</t>
        </is>
      </c>
      <c r="H35" s="7" t="inlineStr">
        <is>
          <t>Nilo-467
Lara-415
Ravi-398
Mel-316</t>
        </is>
      </c>
      <c r="I35" s="7" t="inlineStr">
        <is>
          <t>TECHNICAL COVERAGE
MUST       1/1   ✓ COMPLETE
SHOULD   5/8   ⚠ 3 MISSING
COULD     21/34   ⚠ 13 MISSING
MANDATORY REQUIREMENTS
✓ Web — 2 member(s)
REDUNDANCY
✓ 1/1 MUST covered by 2+ members</t>
        </is>
      </c>
      <c r="J35" s="7" t="inlineStr">
        <is>
          <t>REGISTERED COLLABORATION
Pairs with history: 6/6 (100%)
██████████
Shared projects: 33 total
Mean among pairs with history: 5.5
Strongest-history pair: 8 project(s)</t>
        </is>
      </c>
      <c r="K35" s="7" t="inlineStr">
        <is>
          <t>B</t>
        </is>
      </c>
      <c r="L35" s="7" t="inlineStr">
        <is>
          <t>Escolhi a equipe B por perfil mais equilibrado entre cobertura técnica e colaboração.</t>
        </is>
      </c>
    </row>
    <row r="36">
      <c r="A36" s="7" t="inlineStr">
        <is>
          <t>C033</t>
        </is>
      </c>
      <c r="B36" s="7" t="inlineStr">
        <is>
          <t>P13</t>
        </is>
      </c>
      <c r="C36" s="7" t="inlineStr">
        <is>
          <t>T-1559</t>
        </is>
      </c>
      <c r="D36" s="7" t="inlineStr">
        <is>
          <t>Caio-589
Jo-583
Miro-498
Ivo-720</t>
        </is>
      </c>
      <c r="E36" s="7" t="inlineStr">
        <is>
          <t>TECHNICAL COVERAGE
MUST       4/4   ✓ COMPLETE
SHOULD   3/3   ✓ COMPLETE
COULD     7/8   ⚠ 1 MISSING
MANDATORY REQUIREMENTS
✓ Hardware — 4 member(s)
✓ NumPy — 3 member(s)
✓ C — 4 member(s)
✓ Python — 4 member(s)
REDUNDANCY
✓ 4/4 MUST covered by 2+ members</t>
        </is>
      </c>
      <c r="F36" s="7" t="inlineStr">
        <is>
          <t>REGISTERED COLLABORATION
Pairs with history: 6/6 (100%)
██████████
Shared projects: 30 total
Mean among pairs with history: 5.0
Strongest-history pair: 6 project(s)</t>
        </is>
      </c>
      <c r="G36" s="7" t="inlineStr">
        <is>
          <t>T-1300</t>
        </is>
      </c>
      <c r="H36" s="7" t="inlineStr">
        <is>
          <t>Jo-583
Ian-700
Sam-705
Ivo-720</t>
        </is>
      </c>
      <c r="I36" s="7" t="inlineStr">
        <is>
          <t>TECHNICAL COVERAGE
MUST       4/4 CONFIRMED*   ✓ COMPLETE
SHOULD   3/3 CONFIRMED*   ✓ COMPLETE
COULD     8/8 CONFIRMED*   ✓ COMPLETE
MANDATORY REQUIREMENTS
✓ Hardware — ≥3 member(s)
✓ NumPy — ≥3 member(s)
✓ C — ≥3 member(s)
✓ Python — ≥3 member(s)
REDUNDANCY
✓ 4/4 MUST covered by 2+ members*</t>
        </is>
      </c>
      <c r="J36" s="7" t="inlineStr">
        <is>
          <t>REGISTERED COLLABORATION
Pairs with history: 6/6 (100%)
██████████
Shared projects: 24 total
Mean among pairs with history: 4.0
Strongest-history pair: 9 project(s)</t>
        </is>
      </c>
      <c r="K36" s="7" t="inlineStr">
        <is>
          <t>A</t>
        </is>
      </c>
      <c r="L36" s="7" t="inlineStr">
        <is>
          <t>Escolhi a equipe A por perfil mais equilibrado entre cobertura técnica e colaboração.</t>
        </is>
      </c>
    </row>
    <row r="37">
      <c r="A37" s="7" t="inlineStr">
        <is>
          <t>C034</t>
        </is>
      </c>
      <c r="B37" s="7" t="inlineStr">
        <is>
          <t>P9</t>
        </is>
      </c>
      <c r="C37" s="7" t="inlineStr">
        <is>
          <t>T-8573</t>
        </is>
      </c>
      <c r="D37" s="7" t="inlineStr">
        <is>
          <t>Ravi-398
Enzo-282
Maya-335
Lara-415
Leo-336
Nilo-467</t>
        </is>
      </c>
      <c r="E37" s="7" t="inlineStr">
        <is>
          <t>TECHNICAL COVERAGE
MUST       — NOT DEFINED
SHOULD   4/5   ⚠ 1 MISSING
COULD     39/71   ⚠ 32 MISSING
MANDATORY REQUIREMENTS
No MUST requirement defined.
REDUNDANCY
Not applicable</t>
        </is>
      </c>
      <c r="F37" s="7" t="inlineStr">
        <is>
          <t>REGISTERED COLLABORATION
Pairs with history: 15/15 (100%)
██████████
Shared projects: 65 total
Mean among pairs with history: 4.3
Strongest-history pair: 7 project(s)</t>
        </is>
      </c>
      <c r="G37" s="7" t="inlineStr">
        <is>
          <t>T-1384</t>
        </is>
      </c>
      <c r="H37" s="7" t="inlineStr">
        <is>
          <t>Davi-290
Mia-382
Gael-560
Teo-647
Gabi-484
Gabi-94</t>
        </is>
      </c>
      <c r="I37" s="7" t="inlineStr">
        <is>
          <t>TECHNICAL COVERAGE
MUST       — NOT DEFINED
SHOULD   4/5   ⚠ 1 MISSING
COULD     30/71   ⚠ 41 MISSING
MANDATORY REQUIREMENTS
No MUST requirement defined.
REDUNDANCY
Not applicable</t>
        </is>
      </c>
      <c r="J37" s="7" t="inlineStr">
        <is>
          <t>REGISTERED COLLABORATION
Pairs with history: 10/15 (67%)
███████░░░
Shared projects: 43 total
Mean among pairs with history: 4.3
Strongest-history pair: 6 project(s)</t>
        </is>
      </c>
      <c r="K37" s="7" t="inlineStr">
        <is>
          <t>A</t>
        </is>
      </c>
      <c r="L37" s="7" t="inlineStr">
        <is>
          <t>Escolhi a equipe A por histórico de colaboração mais consistente.</t>
        </is>
      </c>
    </row>
    <row r="38">
      <c r="A38" s="7" t="inlineStr">
        <is>
          <t>C035</t>
        </is>
      </c>
      <c r="B38" s="7" t="inlineStr">
        <is>
          <t>P6</t>
        </is>
      </c>
      <c r="C38" s="7" t="inlineStr">
        <is>
          <t>T-4412</t>
        </is>
      </c>
      <c r="D38" s="7" t="inlineStr">
        <is>
          <t>Mia-382
Gabi-94
Nilo-402
Tom-183
Davi-290
Ceci-363
Gabi-484</t>
        </is>
      </c>
      <c r="E38" s="7" t="inlineStr">
        <is>
          <t>TECHNICAL COVERAGE
MUST       2/2   ✓ COMPLETE
SHOULD   16/19   ⚠ 3 MISSING
COULD     24/43   ⚠ 19 MISSING
MANDATORY REQUIREMENTS
✓ Android — 7 member(s)
✓ iOS — 4 member(s)
REDUNDANCY
✓ 2/2 MUST covered by 2+ members</t>
        </is>
      </c>
      <c r="F38" s="7" t="inlineStr">
        <is>
          <t>REGISTERED COLLABORATION
Pairs with history: 21/21 (100%)
██████████
Shared projects: 79 total
Mean among pairs with history: 3.8
Strongest-history pair: 6 project(s)</t>
        </is>
      </c>
      <c r="G38" s="7" t="inlineStr">
        <is>
          <t>T-4484</t>
        </is>
      </c>
      <c r="H38" s="7" t="inlineStr">
        <is>
          <t>Zoe-311
Jo-453
Rute-483
Tina-490
Levi-494
Liz-637
Emi-114</t>
        </is>
      </c>
      <c r="I38" s="7" t="inlineStr">
        <is>
          <t>TECHNICAL COVERAGE
MUST       2/2   ✓ COMPLETE
SHOULD   19/19   ✓ COMPLETE
COULD     43/43   ✓ COMPLETE
MANDATORY REQUIREMENTS
✓ Android — 7 member(s)
✓ iOS — 7 member(s)
REDUNDANCY
✓ 2/2 MUST covered by 2+ members</t>
        </is>
      </c>
      <c r="J38" s="7" t="inlineStr">
        <is>
          <t>REGISTERED COLLABORATION
Pairs with history: 15/21 (71%)
███████░░░
Shared projects: 55 total
Mean among pairs with history: 3.7
Strongest-history pair: 6 project(s)</t>
        </is>
      </c>
      <c r="K38" s="7" t="inlineStr">
        <is>
          <t>A</t>
        </is>
      </c>
      <c r="L38" s="7" t="inlineStr">
        <is>
          <t>Escolhi a equipe A por histórico de colaboração mais consistente.</t>
        </is>
      </c>
    </row>
    <row r="39">
      <c r="A39" s="7" t="inlineStr">
        <is>
          <t>C036</t>
        </is>
      </c>
      <c r="B39" s="7" t="inlineStr">
        <is>
          <t>P14</t>
        </is>
      </c>
      <c r="C39" s="7" t="inlineStr">
        <is>
          <t>T-2098</t>
        </is>
      </c>
      <c r="D39" s="7" t="inlineStr">
        <is>
          <t>Rosa-359
Lara-220
Ivan-357
Eli-503</t>
        </is>
      </c>
      <c r="E39" s="7" t="inlineStr">
        <is>
          <t>TECHNICAL COVERAGE
MUST       4/4   ✓ COMPLETE
SHOULD   4/4   ✓ COMPLETE
COULD     23/45   ⚠ 22 MISSING
MANDATORY REQUIREMENTS
✓ Web — 4 member(s)
✓ Angular — 4 member(s)
✓ Progressive Web App (PWA) — 4 member(s)
✓ CSS — 3 member(s)
REDUNDANCY
✓ 4/4 MUST covered by 2+ members</t>
        </is>
      </c>
      <c r="F39" s="7" t="inlineStr">
        <is>
          <t>REGISTERED COLLABORATION
Pairs with history: 6/6 (100%)
██████████
Shared projects: 28 total
Mean among pairs with history: 4.7
Strongest-history pair: 6 project(s)</t>
        </is>
      </c>
      <c r="G39" s="7" t="inlineStr">
        <is>
          <t>T-6570</t>
        </is>
      </c>
      <c r="H39" s="7" t="inlineStr">
        <is>
          <t>Tito-468
Liz-637
Gabi-744
Sam-250</t>
        </is>
      </c>
      <c r="I39" s="7" t="inlineStr">
        <is>
          <t>TECHNICAL COVERAGE
MUST       4/4   ✓ COMPLETE
SHOULD   4/4   ✓ COMPLETE
COULD     45/45   ✓ COMPLETE
MANDATORY REQUIREMENTS
✓ Web — 4 member(s)
✓ Angular — 4 member(s)
✓ Progressive Web App (PWA) — 4 member(s)
✓ CSS — 4 member(s)
REDUNDANCY
✓ 4/4 MUST covered by 2+ members</t>
        </is>
      </c>
      <c r="J39" s="7" t="inlineStr">
        <is>
          <t>REGISTERED COLLABORATION
Pairs with history: 3/6 (50%)
█████░░░░░
Shared projects: 3 total
Mean among pairs with history: 1.0
Strongest-history pair: 1 project(s)</t>
        </is>
      </c>
      <c r="K39" s="7" t="inlineStr">
        <is>
          <t>A</t>
        </is>
      </c>
      <c r="L39" s="7" t="inlineStr">
        <is>
          <t>Escolhi a equipe A por histórico de colaboração mais consistente.</t>
        </is>
      </c>
    </row>
    <row r="40">
      <c r="A40" s="7" t="inlineStr">
        <is>
          <t>C037</t>
        </is>
      </c>
      <c r="B40" s="7" t="inlineStr">
        <is>
          <t>P7</t>
        </is>
      </c>
      <c r="C40" s="7" t="inlineStr">
        <is>
          <t>T-4479</t>
        </is>
      </c>
      <c r="D40" s="7" t="inlineStr">
        <is>
          <t>Davi-615
Enzo-477
Lino-496
Teo-257
Mila-27</t>
        </is>
      </c>
      <c r="E40" s="7" t="inlineStr">
        <is>
          <t>TECHNICAL COVERAGE
MUST       1/1   ✓ COMPLETE
SHOULD   22/29   ⚠ 7 MISSING
COULD     14/40   ⚠ 26 MISSING
MANDATORY REQUIREMENTS
✓ Web — 4 member(s)
REDUNDANCY
✓ 1/1 MUST covered by 2+ members</t>
        </is>
      </c>
      <c r="F40" s="7" t="inlineStr">
        <is>
          <t>REGISTERED COLLABORATION
Pairs with history: 10/10 (100%)
██████████
Shared projects: 43 total
Mean among pairs with history: 4.3
Strongest-history pair: 6 project(s)</t>
        </is>
      </c>
      <c r="G40" s="7" t="inlineStr">
        <is>
          <t>T-8765</t>
        </is>
      </c>
      <c r="H40" s="7" t="inlineStr">
        <is>
          <t>Iris-81
Jade-370
Lara-415
Enzo-282
Leo-336</t>
        </is>
      </c>
      <c r="I40" s="7" t="inlineStr">
        <is>
          <t>TECHNICAL COVERAGE
MUST       1/1   ✓ COMPLETE
SHOULD   12/29   ⚠ 17 MISSING
COULD     15/40   ⚠ 25 MISSING
MANDATORY REQUIREMENTS
✓ Web — 4 member(s)
REDUNDANCY
✓ 1/1 MUST covered by 2+ members</t>
        </is>
      </c>
      <c r="J40" s="7" t="inlineStr">
        <is>
          <t>REGISTERED COLLABORATION
Pairs with history: 10/10 (100%)
██████████
Shared projects: 54 total
Mean among pairs with history: 5.4
Strongest-history pair: 7 project(s)</t>
        </is>
      </c>
      <c r="K40" s="7" t="inlineStr">
        <is>
          <t>A</t>
        </is>
      </c>
      <c r="L40" s="7" t="inlineStr">
        <is>
          <t>Escolhi a equipe A por perfil mais equilibrado entre cobertura técnica e colaboração.</t>
        </is>
      </c>
    </row>
    <row r="41">
      <c r="A41" s="7" t="inlineStr">
        <is>
          <t>C038</t>
        </is>
      </c>
      <c r="B41" s="7" t="inlineStr">
        <is>
          <t>P8</t>
        </is>
      </c>
      <c r="C41" s="7" t="inlineStr">
        <is>
          <t>T-4732</t>
        </is>
      </c>
      <c r="D41" s="7" t="inlineStr">
        <is>
          <t>Davi-225
Rita-520
Theo-656
Ceci-688
Ravi-8</t>
        </is>
      </c>
      <c r="E41" s="7" t="inlineStr">
        <is>
          <t>TECHNICAL COVERAGE
MUST       2/2 CONFIRMED*   ✓ COMPLETE
SHOULD   18/18 CONFIRMED*   ✓ COMPLETE
COULD     32/32 CONFIRMED*   ✓ COMPLETE
MANDATORY REQUIREMENTS
✓ Web — ≥4 member(s)
✓ AWS — ≥4 member(s)
REDUNDANCY
✓ 2/2 MUST covered by 2+ members*</t>
        </is>
      </c>
      <c r="F41" s="7" t="inlineStr">
        <is>
          <t>REGISTERED COLLABORATION
Pairs with history: 10/10 (100%)
██████████
Shared projects: 17 total
Mean among pairs with history: 1.7
Strongest-history pair: 5 project(s)</t>
        </is>
      </c>
      <c r="G41" s="7" t="inlineStr">
        <is>
          <t>T-1457</t>
        </is>
      </c>
      <c r="H41" s="7" t="inlineStr">
        <is>
          <t>Jade-370
Ravi-398
Lara-415
Leo-336
Iris-81</t>
        </is>
      </c>
      <c r="I41" s="7" t="inlineStr">
        <is>
          <t>TECHNICAL COVERAGE
MUST       2/2   ✓ COMPLETE
SHOULD   17/18   ⚠ 1 MISSING
COULD     15/32   ⚠ 17 MISSING
MANDATORY REQUIREMENTS
✓ Web — 3 member(s)
✓ AWS — 2 member(s)
REDUNDANCY
✓ 2/2 MUST covered by 2+ members</t>
        </is>
      </c>
      <c r="J41" s="7" t="inlineStr">
        <is>
          <t>REGISTERED COLLABORATION
Pairs with history: 10/10 (100%)
██████████
Shared projects: 46 total
Mean among pairs with history: 4.6
Strongest-history pair: 6 project(s)</t>
        </is>
      </c>
      <c r="K41" s="7" t="inlineStr">
        <is>
          <t>A</t>
        </is>
      </c>
      <c r="L41" s="7" t="inlineStr">
        <is>
          <t>Escolhi a equipe A por perfil mais equilibrado entre cobertura técnica e colaboração.</t>
        </is>
      </c>
    </row>
    <row r="42">
      <c r="A42" s="7" t="inlineStr">
        <is>
          <t>C039</t>
        </is>
      </c>
      <c r="B42" s="7" t="inlineStr">
        <is>
          <t>P5</t>
        </is>
      </c>
      <c r="C42" s="7" t="inlineStr">
        <is>
          <t>T-2822</t>
        </is>
      </c>
      <c r="D42" s="7" t="inlineStr">
        <is>
          <t>Nilo-467
Lara-415
Ravi-398
Mel-316</t>
        </is>
      </c>
      <c r="E42" s="7" t="inlineStr">
        <is>
          <t>TECHNICAL COVERAGE
MUST       1/1   ✓ COMPLETE
SHOULD   5/8   ⚠ 3 MISSING
COULD     21/34   ⚠ 13 MISSING
MANDATORY REQUIREMENTS
✓ Web — 2 member(s)
REDUNDANCY
✓ 1/1 MUST covered by 2+ members</t>
        </is>
      </c>
      <c r="F42" s="7" t="inlineStr">
        <is>
          <t>REGISTERED COLLABORATION
Pairs with history: 6/6 (100%)
██████████
Shared projects: 33 total
Mean among pairs with history: 5.5
Strongest-history pair: 8 project(s)</t>
        </is>
      </c>
      <c r="G42" s="7" t="inlineStr">
        <is>
          <t>T-8053</t>
        </is>
      </c>
      <c r="H42" s="7" t="inlineStr">
        <is>
          <t>Jade-370
Lara-415
Leo-336
Ravi-398</t>
        </is>
      </c>
      <c r="I42" s="7" t="inlineStr">
        <is>
          <t>TECHNICAL COVERAGE
MUST       1/1   ✓ COMPLETE
SHOULD   5/8   ⚠ 3 MISSING
COULD     21/34   ⚠ 13 MISSING
MANDATORY REQUIREMENTS
✓ Web — 2 member(s)
REDUNDANCY
✓ 1/1 MUST covered by 2+ members</t>
        </is>
      </c>
      <c r="J42" s="7" t="inlineStr">
        <is>
          <t>REGISTERED COLLABORATION
Pairs with history: 6/6 (100%)
██████████
Shared projects: 32 total
Mean among pairs with history: 5.3
Strongest-history pair: 6 project(s)</t>
        </is>
      </c>
      <c r="K42" s="7" t="inlineStr">
        <is>
          <t>A</t>
        </is>
      </c>
      <c r="L42" s="7" t="inlineStr">
        <is>
          <t>Escolhi a equipe A por perfil mais equilibrado entre cobertura técnica e colaboração.</t>
        </is>
      </c>
    </row>
    <row r="43">
      <c r="A43" s="7" t="inlineStr">
        <is>
          <t>C040</t>
        </is>
      </c>
      <c r="B43" s="7" t="inlineStr">
        <is>
          <t>P2</t>
        </is>
      </c>
      <c r="C43" s="7" t="inlineStr">
        <is>
          <t>T-4526</t>
        </is>
      </c>
      <c r="D43" s="7" t="inlineStr">
        <is>
          <t>Nina-7
Davi-290
Gabi-484
Raul-33
Gabi-94
Gael-560
Mia-447
Nina-397</t>
        </is>
      </c>
      <c r="E43" s="7" t="inlineStr">
        <is>
          <t>TECHNICAL COVERAGE
MUST       — NOT DEFINED
SHOULD   11/20   ⚠ 9 MISSING
COULD     29/57   ⚠ 28 MISSING
MANDATORY REQUIREMENTS
No MUST requirement defined.
REDUNDANCY
Not applicable</t>
        </is>
      </c>
      <c r="F43" s="7" t="inlineStr">
        <is>
          <t>REGISTERED COLLABORATION
Pairs with history: 21/28 (75%)
████████░░
Shared projects: 89 total
Mean among pairs with history: 4.2
Strongest-history pair: 18 project(s)</t>
        </is>
      </c>
      <c r="G43" s="7" t="inlineStr">
        <is>
          <t>T-5996</t>
        </is>
      </c>
      <c r="H43" s="7" t="inlineStr">
        <is>
          <t>Levi-169
Ari-177
Mila-222
Lia-457
Sara-479
Lara-545
Davi-550
Maia-676</t>
        </is>
      </c>
      <c r="I43" s="7" t="inlineStr">
        <is>
          <t>TECHNICAL COVERAGE
MUST       — NOT DEFINED
SHOULD   20/20   ✓ COMPLETE
COULD     57/57   ✓ COMPLETE
MANDATORY REQUIREMENTS
No MUST requirement defined.
REDUNDANCY
Not applicable</t>
        </is>
      </c>
      <c r="J43" s="7" t="inlineStr">
        <is>
          <t>REGISTERED COLLABORATION
Pairs with history: 21/28 (75%)
████████░░
Shared projects: 30 total
Mean among pairs with history: 1.4
Strongest-history pair: 4 project(s)</t>
        </is>
      </c>
      <c r="K43" s="7" t="inlineStr">
        <is>
          <t>B</t>
        </is>
      </c>
      <c r="L43" s="7" t="inlineStr">
        <is>
          <t>Escolhi a equipe B por perfil mais equilibrado entre cobertura técnica e colaboração.</t>
        </is>
      </c>
    </row>
    <row r="44">
      <c r="A44" s="7" t="inlineStr">
        <is>
          <t>C041</t>
        </is>
      </c>
      <c r="B44" s="7" t="inlineStr">
        <is>
          <t>P12</t>
        </is>
      </c>
      <c r="C44" s="7" t="inlineStr">
        <is>
          <t>T-8599</t>
        </is>
      </c>
      <c r="D44" s="7" t="inlineStr">
        <is>
          <t>Ravi-398
Lara-415
Nilo-467
Bia-458</t>
        </is>
      </c>
      <c r="E44" s="7" t="inlineStr">
        <is>
          <t>TECHNICAL COVERAGE
MUST       — NOT DEFINED
SHOULD   6/9   ⚠ 3 MISSING
COULD     21/28   ⚠ 7 MISSING
MANDATORY REQUIREMENTS
No MUST requirement defined.
REDUNDANCY
Not applicable</t>
        </is>
      </c>
      <c r="F44" s="7" t="inlineStr">
        <is>
          <t>REGISTERED COLLABORATION
Pairs with history: 6/6 (100%)
██████████
Shared projects: 23 total
Mean among pairs with history: 3.8
Strongest-history pair: 6 project(s)</t>
        </is>
      </c>
      <c r="G44" s="7" t="inlineStr">
        <is>
          <t>T-4278</t>
        </is>
      </c>
      <c r="H44" s="7" t="inlineStr">
        <is>
          <t>Maya-335
Ada-716
Yuri-746
Levi-169</t>
        </is>
      </c>
      <c r="I44" s="7" t="inlineStr">
        <is>
          <t>TECHNICAL COVERAGE
MUST       — NOT DEFINED
SHOULD   9/9   ✓ COMPLETE
COULD     28/28   ✓ COMPLETE
MANDATORY REQUIREMENTS
No MUST requirement defined.
REDUNDANCY
Not applicable</t>
        </is>
      </c>
      <c r="J44" s="7" t="inlineStr">
        <is>
          <t>REGISTERED COLLABORATION
Pairs with history: 3/6 (50%)
█████░░░░░
Shared projects: 4 total
Mean among pairs with history: 1.3
Strongest-history pair: 2 project(s)</t>
        </is>
      </c>
      <c r="K44" s="7" t="inlineStr">
        <is>
          <t>A</t>
        </is>
      </c>
      <c r="L44" s="7" t="inlineStr">
        <is>
          <t>Escolhi a equipe A por histórico de colaboração mais consistente.</t>
        </is>
      </c>
    </row>
    <row r="45">
      <c r="A45" s="7" t="inlineStr">
        <is>
          <t>C042</t>
        </is>
      </c>
      <c r="B45" s="7" t="inlineStr">
        <is>
          <t>P6</t>
        </is>
      </c>
      <c r="C45" s="7" t="inlineStr">
        <is>
          <t>T-4412</t>
        </is>
      </c>
      <c r="D45" s="7" t="inlineStr">
        <is>
          <t>Mia-382
Gabi-94
Nilo-402
Tom-183
Davi-290
Ceci-363
Gabi-484</t>
        </is>
      </c>
      <c r="E45" s="7" t="inlineStr">
        <is>
          <t>TECHNICAL COVERAGE
MUST       2/2   ✓ COMPLETE
SHOULD   16/19   ⚠ 3 MISSING
COULD     24/43   ⚠ 19 MISSING
MANDATORY REQUIREMENTS
✓ Android — 7 member(s)
✓ iOS — 4 member(s)
REDUNDANCY
✓ 2/2 MUST covered by 2+ members</t>
        </is>
      </c>
      <c r="F45" s="7" t="inlineStr">
        <is>
          <t>REGISTERED COLLABORATION
Pairs with history: 21/21 (100%)
██████████
Shared projects: 79 total
Mean among pairs with history: 3.8
Strongest-history pair: 6 project(s)</t>
        </is>
      </c>
      <c r="G45" s="7" t="inlineStr">
        <is>
          <t>T-8656</t>
        </is>
      </c>
      <c r="H45" s="7" t="inlineStr">
        <is>
          <t>Otto-281
Zoe-311
Jo-453
Rute-483
Tina-490
Levi-494
Liz-637</t>
        </is>
      </c>
      <c r="I45" s="7" t="inlineStr">
        <is>
          <t>TECHNICAL COVERAGE
MUST       2/2 CONFIRMED*   ✓ COMPLETE
SHOULD   19/19 CONFIRMED*   ✓ COMPLETE
COULD     43/43 CONFIRMED*   ✓ COMPLETE
MANDATORY REQUIREMENTS
✓ Android — ≥6 member(s)
✓ iOS — ≥6 member(s)
REDUNDANCY
✓ 2/2 MUST covered by 2+ members*</t>
        </is>
      </c>
      <c r="J45" s="7" t="inlineStr">
        <is>
          <t>REGISTERED COLLABORATION
Pairs with history: 21/21 (100%)
██████████
Shared projects: 69 total
Mean among pairs with history: 3.3
Strongest-history pair: 6 project(s)</t>
        </is>
      </c>
      <c r="K45" s="7" t="inlineStr">
        <is>
          <t>B</t>
        </is>
      </c>
      <c r="L45" s="7" t="inlineStr">
        <is>
          <t>Escolhi a equipe B por perfil mais equilibrado entre cobertura técnica e colaboração.</t>
        </is>
      </c>
    </row>
    <row r="46">
      <c r="A46" s="7" t="inlineStr">
        <is>
          <t>C043</t>
        </is>
      </c>
      <c r="B46" s="7" t="inlineStr">
        <is>
          <t>P5</t>
        </is>
      </c>
      <c r="C46" s="7" t="inlineStr">
        <is>
          <t>T-2639</t>
        </is>
      </c>
      <c r="D46" s="7" t="inlineStr">
        <is>
          <t>Mila-27
Mia-317
Maia-351
Gil-516</t>
        </is>
      </c>
      <c r="E46" s="7" t="inlineStr">
        <is>
          <t>TECHNICAL COVERAGE
MUST       1/1   ✓ COMPLETE
SHOULD   8/8   ✓ COMPLETE
COULD     34/34   ✓ COMPLETE
MANDATORY REQUIREMENTS
✓ Web — 4 member(s)
REDUNDANCY
✓ 1/1 MUST covered by 2+ members</t>
        </is>
      </c>
      <c r="F46" s="7" t="inlineStr">
        <is>
          <t>REGISTERED COLLABORATION
Pairs with history: 6/6 (100%)
██████████
Shared projects: 43 total
Mean among pairs with history: 7.2
Strongest-history pair: 22 project(s)</t>
        </is>
      </c>
      <c r="G46" s="7" t="inlineStr">
        <is>
          <t>T-2822</t>
        </is>
      </c>
      <c r="H46" s="7" t="inlineStr">
        <is>
          <t>Nilo-467
Lara-415
Ravi-398
Mel-316</t>
        </is>
      </c>
      <c r="I46" s="7" t="inlineStr">
        <is>
          <t>TECHNICAL COVERAGE
MUST       1/1   ✓ COMPLETE
SHOULD   5/8   ⚠ 3 MISSING
COULD     21/34   ⚠ 13 MISSING
MANDATORY REQUIREMENTS
✓ Web — 2 member(s)
REDUNDANCY
✓ 1/1 MUST covered by 2+ members</t>
        </is>
      </c>
      <c r="J46" s="7" t="inlineStr">
        <is>
          <t>REGISTERED COLLABORATION
Pairs with history: 6/6 (100%)
██████████
Shared projects: 33 total
Mean among pairs with history: 5.5
Strongest-history pair: 8 project(s)</t>
        </is>
      </c>
      <c r="K46" s="7" t="inlineStr">
        <is>
          <t>A</t>
        </is>
      </c>
      <c r="L46" s="7" t="inlineStr">
        <is>
          <t>Escolhi a equipe A por perfil mais equilibrado entre cobertura técnica e colaboração.</t>
        </is>
      </c>
    </row>
    <row r="47">
      <c r="A47" s="7" t="inlineStr">
        <is>
          <t>C044</t>
        </is>
      </c>
      <c r="B47" s="7" t="inlineStr">
        <is>
          <t>P7</t>
        </is>
      </c>
      <c r="C47" s="7" t="inlineStr">
        <is>
          <t>T-4770</t>
        </is>
      </c>
      <c r="D47" s="7" t="inlineStr">
        <is>
          <t>Ada-326
Gabi-354
Sol-46
Ivo-525
Tom-183</t>
        </is>
      </c>
      <c r="E47" s="7" t="inlineStr">
        <is>
          <t>TECHNICAL COVERAGE
MUST       1/1   ✓ COMPLETE
SHOULD   29/29   ✓ COMPLETE
COULD     40/40   ✓ COMPLETE
MANDATORY REQUIREMENTS
✓ Web — 5 member(s)
REDUNDANCY
✓ 1/1 MUST covered by 2+ members</t>
        </is>
      </c>
      <c r="F47" s="7" t="inlineStr">
        <is>
          <t>REGISTERED COLLABORATION
Pairs with history: 7/10 (70%)
███████░░░
Shared projects: 17 total
Mean among pairs with history: 2.4
Strongest-history pair: 4 project(s)</t>
        </is>
      </c>
      <c r="G47" s="7" t="inlineStr">
        <is>
          <t>T-8765</t>
        </is>
      </c>
      <c r="H47" s="7" t="inlineStr">
        <is>
          <t>Iris-81
Jade-370
Lara-415
Enzo-282
Leo-336</t>
        </is>
      </c>
      <c r="I47" s="7" t="inlineStr">
        <is>
          <t>TECHNICAL COVERAGE
MUST       1/1   ✓ COMPLETE
SHOULD   12/29   ⚠ 17 MISSING
COULD     15/40   ⚠ 25 MISSING
MANDATORY REQUIREMENTS
✓ Web — 4 member(s)
REDUNDANCY
✓ 1/1 MUST covered by 2+ members</t>
        </is>
      </c>
      <c r="J47" s="7" t="inlineStr">
        <is>
          <t>REGISTERED COLLABORATION
Pairs with history: 10/10 (100%)
██████████
Shared projects: 54 total
Mean among pairs with history: 5.4
Strongest-history pair: 7 project(s)</t>
        </is>
      </c>
      <c r="K47" s="7" t="inlineStr">
        <is>
          <t>A</t>
        </is>
      </c>
      <c r="L47" s="7" t="inlineStr">
        <is>
          <t>Escolhi a equipe A por perfil mais equilibrado entre cobertura técnica e colaboração.</t>
        </is>
      </c>
    </row>
    <row r="48">
      <c r="A48" s="7" t="inlineStr">
        <is>
          <t>C045</t>
        </is>
      </c>
      <c r="B48" s="7" t="inlineStr">
        <is>
          <t>P1</t>
        </is>
      </c>
      <c r="C48" s="7" t="inlineStr">
        <is>
          <t>T-6473</t>
        </is>
      </c>
      <c r="D48" s="7" t="inlineStr">
        <is>
          <t>Luiz-324
Rosa-359
Ana-448
Jade-305
Gael-170
Hugo-543
Eli-503
Ana-578
Lara-220</t>
        </is>
      </c>
      <c r="E48" s="7" t="inlineStr">
        <is>
          <t>TECHNICAL COVERAGE
MUST       2/2   ✓ COMPLETE
SHOULD   13/13   ✓ COMPLETE
COULD     38/65   ⚠ 27 MISSING
MANDATORY REQUIREMENTS
✓ Mobile — 8 member(s)
✓ Web — 9 member(s)
REDUNDANCY
✓ 2/2 MUST covered by 2+ members</t>
        </is>
      </c>
      <c r="F48" s="7" t="inlineStr">
        <is>
          <t>REGISTERED COLLABORATION
Pairs with history: 36/36 (100%)
██████████
Shared projects: 160 total
Mean among pairs with history: 4.4
Strongest-history pair: 11 project(s)</t>
        </is>
      </c>
      <c r="G48" s="7" t="inlineStr">
        <is>
          <t>T-4743</t>
        </is>
      </c>
      <c r="H48" s="7" t="inlineStr">
        <is>
          <t>Luiz-324
Rosa-359
Lara-220
Ana-578
Gael-170
Ana-448
Eli-503
Jade-305
Sara-544</t>
        </is>
      </c>
      <c r="I48" s="7" t="inlineStr">
        <is>
          <t>TECHNICAL COVERAGE
MUST       2/2   ✓ COMPLETE
SHOULD   13/13   ✓ COMPLETE
COULD     38/65   ⚠ 27 MISSING
MANDATORY REQUIREMENTS
✓ Mobile — 9 member(s)
✓ Web — 9 member(s)
REDUNDANCY
✓ 2/2 MUST covered by 2+ members</t>
        </is>
      </c>
      <c r="J48" s="7" t="inlineStr">
        <is>
          <t>REGISTERED COLLABORATION
Pairs with history: 36/36 (100%)
██████████
Shared projects: 167 total
Mean among pairs with history: 4.6
Strongest-history pair: 12 project(s)</t>
        </is>
      </c>
      <c r="K48" s="7" t="inlineStr">
        <is>
          <t>B</t>
        </is>
      </c>
      <c r="L48" s="7" t="inlineStr">
        <is>
          <t>Escolhi a equipe B por perfil mais equilibrado entre cobertura técnica e colaboração.</t>
        </is>
      </c>
    </row>
    <row r="49">
      <c r="A49" s="7" t="inlineStr">
        <is>
          <t>C046</t>
        </is>
      </c>
      <c r="B49" s="7" t="inlineStr">
        <is>
          <t>P16</t>
        </is>
      </c>
      <c r="C49" s="7" t="inlineStr">
        <is>
          <t>T-9373</t>
        </is>
      </c>
      <c r="D49" s="7" t="inlineStr">
        <is>
          <t>Mia-317
Iris-81
Mel-316
Nilo-467
Lara-415
Jade-370
Ravi-398
Leo-336
Enzo-282</t>
        </is>
      </c>
      <c r="E49" s="7" t="inlineStr">
        <is>
          <t>TECHNICAL COVERAGE
MUST       — NOT DEFINED
SHOULD   10/12   ⚠ 2 MISSING
COULD     33/57   ⚠ 24 MISSING
MANDATORY REQUIREMENTS
No MUST requirement defined.
REDUNDANCY
Not applicable</t>
        </is>
      </c>
      <c r="F49" s="7" t="inlineStr">
        <is>
          <t>REGISTERED COLLABORATION
Pairs with history: 36/36 (100%)
██████████
Shared projects: 201 total
Mean among pairs with history: 5.6
Strongest-history pair: 12 project(s)</t>
        </is>
      </c>
      <c r="G49" s="7" t="inlineStr">
        <is>
          <t>T-6812</t>
        </is>
      </c>
      <c r="H49" s="7" t="inlineStr">
        <is>
          <t>Ivo-265
Ceci-363
Max-509
Tina-620
Mila-677
Lila-692
Maya-725
Gael-495
Nilo-402</t>
        </is>
      </c>
      <c r="I49" s="7" t="inlineStr">
        <is>
          <t>TECHNICAL COVERAGE
MUST       — NOT DEFINED
SHOULD   12/12   ✓ COMPLETE
COULD     57/57   ✓ COMPLETE
MANDATORY REQUIREMENTS
No MUST requirement defined.
REDUNDANCY
Not applicable</t>
        </is>
      </c>
      <c r="J49" s="7" t="inlineStr">
        <is>
          <t>REGISTERED COLLABORATION
Pairs with history: 24/36 (67%)
███████░░░
Shared projects: 48 total
Mean among pairs with history: 2.0
Strongest-history pair: 4 project(s)</t>
        </is>
      </c>
      <c r="K49" s="7" t="inlineStr">
        <is>
          <t>A</t>
        </is>
      </c>
      <c r="L49" s="7" t="inlineStr">
        <is>
          <t>Escolhi a equipe A por histórico de colaboração mais consistente.</t>
        </is>
      </c>
    </row>
    <row r="50">
      <c r="A50" s="7" t="inlineStr">
        <is>
          <t>C047</t>
        </is>
      </c>
      <c r="B50" s="7" t="inlineStr">
        <is>
          <t>P11</t>
        </is>
      </c>
      <c r="C50" s="7" t="inlineStr">
        <is>
          <t>T-4785</t>
        </is>
      </c>
      <c r="D50" s="7" t="inlineStr">
        <is>
          <t>Ian-180
Sol-241
Iris-536
Yara-537
Jo-648
Teo-712
Ada-716
Rute-743
Bela-752</t>
        </is>
      </c>
      <c r="E50" s="7" t="inlineStr">
        <is>
          <t>TECHNICAL COVERAGE
MUST       — NOT DEFINED
SHOULD   5/5 CONFIRMED*   ✓ COMPLETE
COULD     56/56 CONFIRMED*   ✓ COMPLETE
MANDATORY REQUIREMENTS
No MUST requirement defined.
REDUNDANCY
Not applicable</t>
        </is>
      </c>
      <c r="F50" s="7" t="inlineStr">
        <is>
          <t>REGISTERED COLLABORATION
Pairs with history: 36/36 (100%)
██████████
Shared projects: 41 total
Mean among pairs with history: 1.1
Strongest-history pair: 5 project(s)</t>
        </is>
      </c>
      <c r="G50" s="7" t="inlineStr">
        <is>
          <t>T-2548</t>
        </is>
      </c>
      <c r="H50" s="7" t="inlineStr">
        <is>
          <t>Ari-437
Jo-583
Nilo-467
Leo-336
Miro-498
Bia-458
Mia-317
Lara-415
Enzo-282</t>
        </is>
      </c>
      <c r="I50" s="7" t="inlineStr">
        <is>
          <t>TECHNICAL COVERAGE
MUST       — NOT DEFINED
SHOULD   4/5   ⚠ 1 MISSING
COULD     35/56   ⚠ 21 MISSING
MANDATORY REQUIREMENTS
No MUST requirement defined.
REDUNDANCY
Not applicable</t>
        </is>
      </c>
      <c r="J50" s="7" t="inlineStr">
        <is>
          <t>REGISTERED COLLABORATION
Pairs with history: 36/36 (100%)
██████████
Shared projects: 153 total
Mean among pairs with history: 4.3
Strongest-history pair: 9 project(s)</t>
        </is>
      </c>
      <c r="K50" s="7" t="inlineStr">
        <is>
          <t>A</t>
        </is>
      </c>
      <c r="L50" s="7" t="inlineStr">
        <is>
          <t>Escolhi a equipe A por perfil mais equilibrado entre cobertura técnica e colaboração.</t>
        </is>
      </c>
    </row>
    <row r="51">
      <c r="A51" s="7" t="inlineStr">
        <is>
          <t>C048</t>
        </is>
      </c>
      <c r="B51" s="7" t="inlineStr">
        <is>
          <t>P12</t>
        </is>
      </c>
      <c r="C51" s="7" t="inlineStr">
        <is>
          <t>T-4709</t>
        </is>
      </c>
      <c r="D51" s="7" t="inlineStr">
        <is>
          <t>Maya-335
Sam-705
Ada-716
Yuri-746</t>
        </is>
      </c>
      <c r="E51" s="7" t="inlineStr">
        <is>
          <t>TECHNICAL COVERAGE
MUST       — NOT DEFINED
SHOULD   9/9 CONFIRMED*   ✓ COMPLETE
COULD     28/28 CONFIRMED*   ✓ COMPLETE
MANDATORY REQUIREMENTS
No MUST requirement defined.
REDUNDANCY
Not applicable</t>
        </is>
      </c>
      <c r="F51" s="7" t="inlineStr">
        <is>
          <t>REGISTERED COLLABORATION
Pairs with history: 6/6 (100%)
██████████
Shared projects: 7 total
Mean among pairs with history: 1.2
Strongest-history pair: 2 project(s)</t>
        </is>
      </c>
      <c r="G51" s="7" t="inlineStr">
        <is>
          <t>T-8599</t>
        </is>
      </c>
      <c r="H51" s="7" t="inlineStr">
        <is>
          <t>Ravi-398
Lara-415
Nilo-467
Bia-458</t>
        </is>
      </c>
      <c r="I51" s="7" t="inlineStr">
        <is>
          <t>TECHNICAL COVERAGE
MUST       — NOT DEFINED
SHOULD   6/9   ⚠ 3 MISSING
COULD     21/28   ⚠ 7 MISSING
MANDATORY REQUIREMENTS
No MUST requirement defined.
REDUNDANCY
Not applicable</t>
        </is>
      </c>
      <c r="J51" s="7" t="inlineStr">
        <is>
          <t>REGISTERED COLLABORATION
Pairs with history: 6/6 (100%)
██████████
Shared projects: 23 total
Mean among pairs with history: 3.8
Strongest-history pair: 6 project(s)</t>
        </is>
      </c>
      <c r="K51" s="7" t="inlineStr">
        <is>
          <t>A</t>
        </is>
      </c>
      <c r="L51" s="7" t="inlineStr">
        <is>
          <t>Escolhi a equipe A por perfil mais equilibrado entre cobertura técnica e colaboração.</t>
        </is>
      </c>
    </row>
    <row r="52">
      <c r="A52" s="7" t="inlineStr">
        <is>
          <t>C049</t>
        </is>
      </c>
      <c r="B52" s="7" t="inlineStr">
        <is>
          <t>P11</t>
        </is>
      </c>
      <c r="C52" s="7" t="inlineStr">
        <is>
          <t>T-8779</t>
        </is>
      </c>
      <c r="D52" s="7" t="inlineStr">
        <is>
          <t>Ana-578
Luiz-324
Rosa-359
Lara-220
Hugo-543
Gael-170
Eli-503
Jade-305
Ana-448</t>
        </is>
      </c>
      <c r="E52" s="7" t="inlineStr">
        <is>
          <t>TECHNICAL COVERAGE
MUST       — NOT DEFINED
SHOULD   5/5   ✓ COMPLETE
COULD     34/56   ⚠ 22 MISSING
MANDATORY REQUIREMENTS
No MUST requirement defined.
REDUNDANCY
Not applicable</t>
        </is>
      </c>
      <c r="F52" s="7" t="inlineStr">
        <is>
          <t>REGISTERED COLLABORATION
Pairs with history: 36/36 (100%)
██████████
Shared projects: 160 total
Mean among pairs with history: 4.4
Strongest-history pair: 11 project(s)</t>
        </is>
      </c>
      <c r="G52" s="7" t="inlineStr">
        <is>
          <t>T-2548</t>
        </is>
      </c>
      <c r="H52" s="7" t="inlineStr">
        <is>
          <t>Ari-437
Jo-583
Nilo-467
Leo-336
Miro-498
Bia-458
Mia-317
Lara-415
Enzo-282</t>
        </is>
      </c>
      <c r="I52" s="7" t="inlineStr">
        <is>
          <t>TECHNICAL COVERAGE
MUST       — NOT DEFINED
SHOULD   4/5   ⚠ 1 MISSING
COULD     35/56   ⚠ 21 MISSING
MANDATORY REQUIREMENTS
No MUST requirement defined.
REDUNDANCY
Not applicable</t>
        </is>
      </c>
      <c r="J52" s="7" t="inlineStr">
        <is>
          <t>REGISTERED COLLABORATION
Pairs with history: 36/36 (100%)
██████████
Shared projects: 153 total
Mean among pairs with history: 4.3
Strongest-history pair: 9 project(s)</t>
        </is>
      </c>
      <c r="K52" s="7" t="inlineStr">
        <is>
          <t>A</t>
        </is>
      </c>
      <c r="L52" s="7" t="inlineStr">
        <is>
          <t>Escolhi a equipe A por perfil mais equilibrado entre cobertura técnica e colaboração.</t>
        </is>
      </c>
    </row>
    <row r="53">
      <c r="A53" s="7" t="inlineStr">
        <is>
          <t>C050</t>
        </is>
      </c>
      <c r="B53" s="7" t="inlineStr">
        <is>
          <t>P10</t>
        </is>
      </c>
      <c r="C53" s="7" t="inlineStr">
        <is>
          <t>T-5887</t>
        </is>
      </c>
      <c r="D53" s="7" t="inlineStr">
        <is>
          <t>Davi-615
Teo-257
Enzo-477
Gabi-94
Lino-496
Mia-382
Bela-492
Mila-27</t>
        </is>
      </c>
      <c r="E53" s="7" t="inlineStr">
        <is>
          <t>TECHNICAL COVERAGE
MUST       1/1   ✓ COMPLETE
SHOULD   26/27   ⚠ 1 MISSING
COULD     39/72   ⚠ 33 MISSING
MANDATORY REQUIREMENTS
✓ Web — 7 member(s)
REDUNDANCY
✓ 1/1 MUST covered by 2+ members</t>
        </is>
      </c>
      <c r="F53" s="7" t="inlineStr">
        <is>
          <t>REGISTERED COLLABORATION
Pairs with history: 28/28 (100%)
██████████
Shared projects: 128 total
Mean among pairs with history: 4.6
Strongest-history pair: 8 project(s)</t>
        </is>
      </c>
      <c r="G53" s="7" t="inlineStr">
        <is>
          <t>T-9473</t>
        </is>
      </c>
      <c r="H53" s="7" t="inlineStr">
        <is>
          <t>Tom-183
Mila-27
Davi-290
Gabi-354
Mia-382
Nilo-402
Davi-615
Gabi-94</t>
        </is>
      </c>
      <c r="I53" s="7" t="inlineStr">
        <is>
          <t>TECHNICAL COVERAGE
MUST       1/1   ✓ COMPLETE
SHOULD   27/27   ✓ COMPLETE
COULD     72/72   ✓ COMPLETE
MANDATORY REQUIREMENTS
✓ Web — 8 member(s)
REDUNDANCY
✓ 1/1 MUST covered by 2+ members</t>
        </is>
      </c>
      <c r="J53" s="7" t="inlineStr">
        <is>
          <t>REGISTERED COLLABORATION
Pairs with history: 28/28 (100%)
██████████
Shared projects: 105 total
Mean among pairs with history: 3.8
Strongest-history pair: 8 project(s)</t>
        </is>
      </c>
      <c r="K53" s="7" t="inlineStr">
        <is>
          <t>B</t>
        </is>
      </c>
      <c r="L53" s="7" t="inlineStr">
        <is>
          <t>Escolhi a equipe B por perfil mais equilibrado entre cobertura técnica e colaboração.</t>
        </is>
      </c>
    </row>
    <row r="54">
      <c r="A54" s="7" t="inlineStr">
        <is>
          <t>C051</t>
        </is>
      </c>
      <c r="B54" s="7" t="inlineStr">
        <is>
          <t>P9</t>
        </is>
      </c>
      <c r="C54" s="7" t="inlineStr">
        <is>
          <t>T-1384</t>
        </is>
      </c>
      <c r="D54" s="7" t="inlineStr">
        <is>
          <t>Davi-290
Mia-382
Gael-560
Teo-647
Gabi-484
Gabi-94</t>
        </is>
      </c>
      <c r="E54" s="7" t="inlineStr">
        <is>
          <t>TECHNICAL COVERAGE
MUST       — NOT DEFINED
SHOULD   4/5   ⚠ 1 MISSING
COULD     30/71   ⚠ 41 MISSING
MANDATORY REQUIREMENTS
No MUST requirement defined.
REDUNDANCY
Not applicable</t>
        </is>
      </c>
      <c r="F54" s="7" t="inlineStr">
        <is>
          <t>REGISTERED COLLABORATION
Pairs with history: 10/15 (67%)
███████░░░
Shared projects: 43 total
Mean among pairs with history: 4.3
Strongest-history pair: 6 project(s)</t>
        </is>
      </c>
      <c r="G54" s="7" t="inlineStr">
        <is>
          <t>T-4769</t>
        </is>
      </c>
      <c r="H54" s="7" t="inlineStr">
        <is>
          <t>Mila-222
Eva-449
Zeca-473
Bela-492
Mila-742
Emi-114</t>
        </is>
      </c>
      <c r="I54" s="7" t="inlineStr">
        <is>
          <t>TECHNICAL COVERAGE
MUST       — NOT DEFINED
SHOULD   5/5   ✓ COMPLETE
COULD     71/71   ✓ COMPLETE
MANDATORY REQUIREMENTS
No MUST requirement defined.
REDUNDANCY
Not applicable</t>
        </is>
      </c>
      <c r="J54" s="7" t="inlineStr">
        <is>
          <t>REGISTERED COLLABORATION
Pairs with history: 10/15 (67%)
███████░░░
Shared projects: 17 total
Mean among pairs with history: 1.7
Strongest-history pair: 6 project(s)</t>
        </is>
      </c>
      <c r="K54" s="7" t="inlineStr">
        <is>
          <t>B</t>
        </is>
      </c>
      <c r="L54" s="7" t="inlineStr">
        <is>
          <t>Escolhi a equipe B por perfil mais equilibrado entre cobertura técnica e colaboração.</t>
        </is>
      </c>
    </row>
    <row r="55">
      <c r="A55" s="7" t="inlineStr">
        <is>
          <t>C052</t>
        </is>
      </c>
      <c r="B55" s="7" t="inlineStr">
        <is>
          <t>P16</t>
        </is>
      </c>
      <c r="C55" s="7" t="inlineStr">
        <is>
          <t>T-9373</t>
        </is>
      </c>
      <c r="D55" s="7" t="inlineStr">
        <is>
          <t>Mia-317
Iris-81
Mel-316
Nilo-467
Lara-415
Jade-370
Ravi-398
Leo-336
Enzo-282</t>
        </is>
      </c>
      <c r="E55" s="7" t="inlineStr">
        <is>
          <t>TECHNICAL COVERAGE
MUST       — NOT DEFINED
SHOULD   10/12   ⚠ 2 MISSING
COULD     33/57   ⚠ 24 MISSING
MANDATORY REQUIREMENTS
No MUST requirement defined.
REDUNDANCY
Not applicable</t>
        </is>
      </c>
      <c r="F55" s="7" t="inlineStr">
        <is>
          <t>REGISTERED COLLABORATION
Pairs with history: 36/36 (100%)
██████████
Shared projects: 201 total
Mean among pairs with history: 5.6
Strongest-history pair: 12 project(s)</t>
        </is>
      </c>
      <c r="G55" s="7" t="inlineStr">
        <is>
          <t>T-4887</t>
        </is>
      </c>
      <c r="H55" s="7" t="inlineStr">
        <is>
          <t>Ivo-265
Otto-281
Ceci-363
Max-509
Tina-620
Mila-677
Lila-692
Maya-725
Lila-757</t>
        </is>
      </c>
      <c r="I55" s="7" t="inlineStr">
        <is>
          <t>TECHNICAL COVERAGE
MUST       — NOT DEFINED
SHOULD   12/12 CONFIRMED*   ✓ COMPLETE
COULD     57/57 CONFIRMED*   ✓ COMPLETE
MANDATORY REQUIREMENTS
No MUST requirement defined.
REDUNDANCY
Not applicable</t>
        </is>
      </c>
      <c r="J55" s="7" t="inlineStr">
        <is>
          <t>REGISTERED COLLABORATION
Pairs with history: 36/36 (100%)
██████████
Shared projects: 66 total
Mean among pairs with history: 1.8
Strongest-history pair: 5 project(s)</t>
        </is>
      </c>
      <c r="K55" s="7" t="inlineStr">
        <is>
          <t>B</t>
        </is>
      </c>
      <c r="L55" s="7" t="inlineStr">
        <is>
          <t>Escolhi a equipe B por perfil mais equilibrado entre cobertura técnica e colaboração.</t>
        </is>
      </c>
    </row>
    <row r="57">
      <c r="A57" s="9" t="inlineStr">
        <is>
          <t>Original source field names, in column order:</t>
        </is>
      </c>
    </row>
    <row r="58">
      <c r="A58" s="9" t="inlineStr">
        <is>
          <t>Row, Project, Team A, Team A — roster, Team A — Technical indicators, Team A — Collaboration indicators, Team B, Team B — roster, Team B — Technical indicators, Team B — Collaboration indicators, Q1. Which team better fits this project?, Q2. Anything you would add? (optional)</t>
        </is>
      </c>
    </row>
    <row r="59">
      <c r="A59" s="9" t="inlineStr">
        <is>
          <t>Row 3 (Row = EXAMPLE) is an illustrative worked example distributed with the workbook, not a real participant response; it is excluded from all Summary tallies.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9" customWidth="1" min="4" max="4"/>
    <col width="15" customWidth="1" min="5" max="5"/>
    <col width="30" customWidth="1" min="6" max="6"/>
    <col width="9" customWidth="1" min="7" max="7"/>
    <col width="15" customWidth="1" min="8" max="8"/>
    <col width="30" customWidth="1" min="9" max="9"/>
    <col width="10" customWidth="1" min="10" max="10"/>
    <col width="12" customWidth="1" min="11" max="11"/>
    <col width="15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40" customWidth="1" min="18" max="18"/>
    <col width="30" customWidth="1" min="19" max="19"/>
  </cols>
  <sheetData>
    <row r="1">
      <c r="A1" s="8" t="inlineStr">
        <is>
          <t>Row ID</t>
        </is>
      </c>
      <c r="B1" s="8" t="inlineStr">
        <is>
          <t>Project</t>
        </is>
      </c>
      <c r="C1" s="8" t="inlineStr">
        <is>
          <t>Comparison Type</t>
        </is>
      </c>
      <c r="D1" s="8" t="inlineStr">
        <is>
          <t>Team A Code</t>
        </is>
      </c>
      <c r="E1" s="8" t="inlineStr">
        <is>
          <t>Team A Origin</t>
        </is>
      </c>
      <c r="F1" s="8" t="inlineStr">
        <is>
          <t>Team A Member IDs</t>
        </is>
      </c>
      <c r="G1" s="8" t="inlineStr">
        <is>
          <t>Team B Code</t>
        </is>
      </c>
      <c r="H1" s="8" t="inlineStr">
        <is>
          <t>Team B Origin</t>
        </is>
      </c>
      <c r="I1" s="8" t="inlineStr">
        <is>
          <t>Team B Member IDs</t>
        </is>
      </c>
      <c r="J1" s="8" t="inlineStr">
        <is>
          <t>Participant Response</t>
        </is>
      </c>
      <c r="K1" s="8" t="inlineStr">
        <is>
          <t>Chosen Team Code</t>
        </is>
      </c>
      <c r="L1" s="8" t="inlineStr">
        <is>
          <t>Chosen Origin</t>
        </is>
      </c>
      <c r="M1" s="8" t="inlineStr">
        <is>
          <t>Calibrated GA Won?</t>
        </is>
      </c>
      <c r="N1" s="8" t="inlineStr">
        <is>
          <t>Planned Repetition?</t>
        </is>
      </c>
      <c r="O1" s="8" t="inlineStr">
        <is>
          <t>Related Row</t>
        </is>
      </c>
      <c r="P1" s="8" t="inlineStr">
        <is>
          <t>Repeated-Composition Group</t>
        </is>
      </c>
      <c r="Q1" s="8" t="inlineStr">
        <is>
          <t>Consistency</t>
        </is>
      </c>
      <c r="R1" s="8" t="inlineStr">
        <is>
          <t>Consistency Note</t>
        </is>
      </c>
      <c r="S1" s="8" t="inlineStr">
        <is>
          <t>Participant Comment</t>
        </is>
      </c>
    </row>
    <row r="2">
      <c r="A2" s="7" t="inlineStr">
        <is>
          <t>C001</t>
        </is>
      </c>
      <c r="B2" s="7" t="inlineStr">
        <is>
          <t>P10</t>
        </is>
      </c>
      <c r="C2" s="7" t="inlineStr">
        <is>
          <t>GA calibrado × equipe histórica</t>
        </is>
      </c>
      <c r="D2" s="7" t="inlineStr">
        <is>
          <t>T-9473</t>
        </is>
      </c>
      <c r="E2" s="7" t="inlineStr">
        <is>
          <t>Equipe histórica</t>
        </is>
      </c>
      <c r="F2" s="7" t="inlineStr">
        <is>
          <t>27, 94, 183, 290, 354, 382, 402, 615</t>
        </is>
      </c>
      <c r="G2" s="7" t="inlineStr">
        <is>
          <t>T-5887</t>
        </is>
      </c>
      <c r="H2" s="7" t="inlineStr">
        <is>
          <t>GA calibrado</t>
        </is>
      </c>
      <c r="I2" s="7" t="inlineStr">
        <is>
          <t>27, 94, 257, 382, 477, 492, 496, 615</t>
        </is>
      </c>
      <c r="J2" s="7" t="inlineStr">
        <is>
          <t>A</t>
        </is>
      </c>
      <c r="K2" s="7" t="inlineStr">
        <is>
          <t>T-9473</t>
        </is>
      </c>
      <c r="L2" s="7" t="inlineStr">
        <is>
          <t>Equipe histórica</t>
        </is>
      </c>
      <c r="M2" s="7" t="inlineStr">
        <is>
          <t>Não</t>
        </is>
      </c>
      <c r="N2" s="7" t="inlineStr">
        <is>
          <t>Não</t>
        </is>
      </c>
      <c r="O2" s="7" t="n"/>
      <c r="P2" s="7" t="inlineStr">
        <is>
          <t>R01</t>
        </is>
      </c>
      <c r="Q2" s="7" t="inlineStr">
        <is>
          <t>Consistente</t>
        </is>
      </c>
      <c r="R2" s="7" t="inlineStr">
        <is>
          <t>A mesma dupla de composições foi avaliada mais de uma vez; a decisão normalizada pelo conjunto de integrantes foi mantida.</t>
        </is>
      </c>
      <c r="S2" s="7" t="n"/>
    </row>
    <row r="3">
      <c r="A3" s="7" t="inlineStr">
        <is>
          <t>C002</t>
        </is>
      </c>
      <c r="B3" s="7" t="inlineStr">
        <is>
          <t>P5</t>
        </is>
      </c>
      <c r="C3" s="7" t="inlineStr">
        <is>
          <t>GA calibrado × LLM</t>
        </is>
      </c>
      <c r="D3" s="7" t="inlineStr">
        <is>
          <t>T-3745</t>
        </is>
      </c>
      <c r="E3" s="7" t="inlineStr">
        <is>
          <t>LLM</t>
        </is>
      </c>
      <c r="F3" s="7" t="inlineStr">
        <is>
          <t>27, 317, 351, 516</t>
        </is>
      </c>
      <c r="G3" s="7" t="inlineStr">
        <is>
          <t>T-2822</t>
        </is>
      </c>
      <c r="H3" s="7" t="inlineStr">
        <is>
          <t>GA calibrado</t>
        </is>
      </c>
      <c r="I3" s="7" t="inlineStr">
        <is>
          <t>316, 398, 415, 467</t>
        </is>
      </c>
      <c r="J3" s="7" t="inlineStr">
        <is>
          <t>A</t>
        </is>
      </c>
      <c r="K3" s="7" t="inlineStr">
        <is>
          <t>T-3745</t>
        </is>
      </c>
      <c r="L3" s="7" t="inlineStr">
        <is>
          <t>LLM</t>
        </is>
      </c>
      <c r="M3" s="7" t="inlineStr">
        <is>
          <t>Não</t>
        </is>
      </c>
      <c r="N3" s="7" t="inlineStr">
        <is>
          <t>Não</t>
        </is>
      </c>
      <c r="O3" s="7" t="n"/>
      <c r="P3" s="7" t="inlineStr">
        <is>
          <t>R02</t>
        </is>
      </c>
      <c r="Q3" s="7" t="inlineStr">
        <is>
          <t>Consistente</t>
        </is>
      </c>
      <c r="R3" s="7" t="inlineStr">
        <is>
          <t>A mesma dupla de composições foi avaliada mais de uma vez; a decisão normalizada pelo conjunto de integrantes foi mantida.</t>
        </is>
      </c>
      <c r="S3" s="7" t="n"/>
    </row>
    <row r="4">
      <c r="A4" s="7" t="inlineStr">
        <is>
          <t>C003</t>
        </is>
      </c>
      <c r="B4" s="7" t="inlineStr">
        <is>
          <t>P16</t>
        </is>
      </c>
      <c r="C4" s="7" t="inlineStr">
        <is>
          <t>GA calibrado × LLM</t>
        </is>
      </c>
      <c r="D4" s="7" t="inlineStr">
        <is>
          <t>T-6812</t>
        </is>
      </c>
      <c r="E4" s="7" t="inlineStr">
        <is>
          <t>LLM</t>
        </is>
      </c>
      <c r="F4" s="7" t="inlineStr">
        <is>
          <t>265, 363, 402, 495, 509, 620, 677, 692, 725</t>
        </is>
      </c>
      <c r="G4" s="7" t="inlineStr">
        <is>
          <t>T-9373</t>
        </is>
      </c>
      <c r="H4" s="7" t="inlineStr">
        <is>
          <t>GA calibrado</t>
        </is>
      </c>
      <c r="I4" s="7" t="inlineStr">
        <is>
          <t>81, 282, 316, 317, 336, 370, 398, 415, 467</t>
        </is>
      </c>
      <c r="J4" s="7" t="inlineStr">
        <is>
          <t>B</t>
        </is>
      </c>
      <c r="K4" s="7" t="inlineStr">
        <is>
          <t>T-9373</t>
        </is>
      </c>
      <c r="L4" s="7" t="inlineStr">
        <is>
          <t>GA calibrado</t>
        </is>
      </c>
      <c r="M4" s="7" t="inlineStr">
        <is>
          <t>Sim</t>
        </is>
      </c>
      <c r="N4" s="7" t="inlineStr">
        <is>
          <t>Não</t>
        </is>
      </c>
      <c r="O4" s="7" t="n"/>
      <c r="P4" s="7" t="inlineStr">
        <is>
          <t>R03</t>
        </is>
      </c>
      <c r="Q4" s="7" t="inlineStr">
        <is>
          <t>Inconsistente</t>
        </is>
      </c>
      <c r="R4" s="7" t="inlineStr">
        <is>
          <t>A mesma dupla de composições foi avaliada mais de uma vez, mas a composição escolhida mudou.</t>
        </is>
      </c>
      <c r="S4" s="7" t="n"/>
    </row>
    <row r="5">
      <c r="A5" s="7" t="inlineStr">
        <is>
          <t>C004</t>
        </is>
      </c>
      <c r="B5" s="7" t="inlineStr">
        <is>
          <t>P4</t>
        </is>
      </c>
      <c r="C5" s="7" t="inlineStr">
        <is>
          <t>GA calibrado × equipe histórica</t>
        </is>
      </c>
      <c r="D5" s="7" t="inlineStr">
        <is>
          <t>T-1128</t>
        </is>
      </c>
      <c r="E5" s="7" t="inlineStr">
        <is>
          <t>Equipe histórica</t>
        </is>
      </c>
      <c r="F5" s="7" t="inlineStr">
        <is>
          <t>105, 142, 225, 354, 490, 532, 551, 686, 728</t>
        </is>
      </c>
      <c r="G5" s="7" t="inlineStr">
        <is>
          <t>T-2703</t>
        </is>
      </c>
      <c r="H5" s="7" t="inlineStr">
        <is>
          <t>GA calibrado</t>
        </is>
      </c>
      <c r="I5" s="7" t="inlineStr">
        <is>
          <t>27, 94, 257, 382, 477, 492, 496, 500, 615</t>
        </is>
      </c>
      <c r="J5" s="7" t="inlineStr">
        <is>
          <t>A</t>
        </is>
      </c>
      <c r="K5" s="7" t="inlineStr">
        <is>
          <t>T-1128</t>
        </is>
      </c>
      <c r="L5" s="7" t="inlineStr">
        <is>
          <t>Equipe histórica</t>
        </is>
      </c>
      <c r="M5" s="7" t="inlineStr">
        <is>
          <t>Não</t>
        </is>
      </c>
      <c r="N5" s="7" t="inlineStr">
        <is>
          <t>Sim</t>
        </is>
      </c>
      <c r="O5" s="7" t="inlineStr">
        <is>
          <t>C006</t>
        </is>
      </c>
      <c r="P5" s="7" t="inlineStr">
        <is>
          <t>R04</t>
        </is>
      </c>
      <c r="Q5" s="7" t="inlineStr">
        <is>
          <t>Consistente</t>
        </is>
      </c>
      <c r="R5" s="7" t="inlineStr">
        <is>
          <t>A mesma dupla de composições foi avaliada mais de uma vez; a decisão normalizada pelo conjunto de integrantes foi mantida.</t>
        </is>
      </c>
      <c r="S5" s="7" t="n"/>
    </row>
    <row r="6">
      <c r="A6" s="7" t="inlineStr">
        <is>
          <t>C005</t>
        </is>
      </c>
      <c r="B6" s="7" t="inlineStr">
        <is>
          <t>P14</t>
        </is>
      </c>
      <c r="C6" s="7" t="inlineStr">
        <is>
          <t>GA calibrado × equipe histórica</t>
        </is>
      </c>
      <c r="D6" s="7" t="inlineStr">
        <is>
          <t>T-2098</t>
        </is>
      </c>
      <c r="E6" s="7" t="inlineStr">
        <is>
          <t>GA calibrado</t>
        </is>
      </c>
      <c r="F6" s="7" t="inlineStr">
        <is>
          <t>220, 357, 359, 503</t>
        </is>
      </c>
      <c r="G6" s="7" t="inlineStr">
        <is>
          <t>T-5194</t>
        </is>
      </c>
      <c r="H6" s="7" t="inlineStr">
        <is>
          <t>Equipe histórica</t>
        </is>
      </c>
      <c r="I6" s="7" t="inlineStr">
        <is>
          <t>468, 637, 705, 744</t>
        </is>
      </c>
      <c r="J6" s="7" t="inlineStr">
        <is>
          <t>B</t>
        </is>
      </c>
      <c r="K6" s="7" t="inlineStr">
        <is>
          <t>T-5194</t>
        </is>
      </c>
      <c r="L6" s="7" t="inlineStr">
        <is>
          <t>Equipe histórica</t>
        </is>
      </c>
      <c r="M6" s="7" t="inlineStr">
        <is>
          <t>Não</t>
        </is>
      </c>
      <c r="N6" s="7" t="inlineStr">
        <is>
          <t>Não</t>
        </is>
      </c>
      <c r="O6" s="7" t="n"/>
      <c r="P6" s="7" t="n"/>
      <c r="Q6" s="7" t="inlineStr">
        <is>
          <t>Não se aplica</t>
        </is>
      </c>
      <c r="R6" s="7" t="inlineStr">
        <is>
          <t>Comparação única para esta dupla de composições.</t>
        </is>
      </c>
      <c r="S6" s="7" t="n"/>
    </row>
    <row r="7">
      <c r="A7" s="7" t="inlineStr">
        <is>
          <t>C006</t>
        </is>
      </c>
      <c r="B7" s="7" t="inlineStr">
        <is>
          <t>P4</t>
        </is>
      </c>
      <c r="C7" s="7" t="inlineStr">
        <is>
          <t>GA calibrado × equipe histórica</t>
        </is>
      </c>
      <c r="D7" s="7" t="inlineStr">
        <is>
          <t>T-2703</t>
        </is>
      </c>
      <c r="E7" s="7" t="inlineStr">
        <is>
          <t>GA calibrado</t>
        </is>
      </c>
      <c r="F7" s="7" t="inlineStr">
        <is>
          <t>27, 94, 257, 382, 477, 492, 496, 500, 615</t>
        </is>
      </c>
      <c r="G7" s="7" t="inlineStr">
        <is>
          <t>T-1128</t>
        </is>
      </c>
      <c r="H7" s="7" t="inlineStr">
        <is>
          <t>Equipe histórica</t>
        </is>
      </c>
      <c r="I7" s="7" t="inlineStr">
        <is>
          <t>105, 142, 225, 354, 490, 532, 551, 686, 728</t>
        </is>
      </c>
      <c r="J7" s="7" t="inlineStr">
        <is>
          <t>B</t>
        </is>
      </c>
      <c r="K7" s="7" t="inlineStr">
        <is>
          <t>T-1128</t>
        </is>
      </c>
      <c r="L7" s="7" t="inlineStr">
        <is>
          <t>Equipe histórica</t>
        </is>
      </c>
      <c r="M7" s="7" t="inlineStr">
        <is>
          <t>Não</t>
        </is>
      </c>
      <c r="N7" s="7" t="inlineStr">
        <is>
          <t>Não</t>
        </is>
      </c>
      <c r="O7" s="7" t="n"/>
      <c r="P7" s="7" t="inlineStr">
        <is>
          <t>R04</t>
        </is>
      </c>
      <c r="Q7" s="7" t="inlineStr">
        <is>
          <t>Consistente</t>
        </is>
      </c>
      <c r="R7" s="7" t="inlineStr">
        <is>
          <t>A mesma dupla de composições foi avaliada mais de uma vez; a decisão normalizada pelo conjunto de integrantes foi mantida.</t>
        </is>
      </c>
      <c r="S7" s="7" t="n"/>
    </row>
    <row r="8">
      <c r="A8" s="7" t="inlineStr">
        <is>
          <t>C007</t>
        </is>
      </c>
      <c r="B8" s="7" t="inlineStr">
        <is>
          <t>P8</t>
        </is>
      </c>
      <c r="C8" s="7" t="inlineStr">
        <is>
          <t>GA calibrado × GA uniforme</t>
        </is>
      </c>
      <c r="D8" s="7" t="inlineStr">
        <is>
          <t>T-1457</t>
        </is>
      </c>
      <c r="E8" s="7" t="inlineStr">
        <is>
          <t>GA calibrado</t>
        </is>
      </c>
      <c r="F8" s="7" t="inlineStr">
        <is>
          <t>81, 336, 370, 398, 415</t>
        </is>
      </c>
      <c r="G8" s="7" t="inlineStr">
        <is>
          <t>T-7723</t>
        </is>
      </c>
      <c r="H8" s="7" t="inlineStr">
        <is>
          <t>GA uniforme</t>
        </is>
      </c>
      <c r="I8" s="7" t="inlineStr">
        <is>
          <t>81, 282, 336, 370, 415</t>
        </is>
      </c>
      <c r="J8" s="7" t="inlineStr">
        <is>
          <t>B</t>
        </is>
      </c>
      <c r="K8" s="7" t="inlineStr">
        <is>
          <t>T-7723</t>
        </is>
      </c>
      <c r="L8" s="7" t="inlineStr">
        <is>
          <t>GA uniforme</t>
        </is>
      </c>
      <c r="M8" s="7" t="inlineStr">
        <is>
          <t>Não</t>
        </is>
      </c>
      <c r="N8" s="7" t="inlineStr">
        <is>
          <t>Não</t>
        </is>
      </c>
      <c r="O8" s="7" t="n"/>
      <c r="P8" s="7" t="n"/>
      <c r="Q8" s="7" t="inlineStr">
        <is>
          <t>Não se aplica</t>
        </is>
      </c>
      <c r="R8" s="7" t="inlineStr">
        <is>
          <t>Comparação única para esta dupla de composições.</t>
        </is>
      </c>
      <c r="S8" s="7" t="n"/>
    </row>
    <row r="9">
      <c r="A9" s="7" t="inlineStr">
        <is>
          <t>C008</t>
        </is>
      </c>
      <c r="B9" s="7" t="inlineStr">
        <is>
          <t>P4</t>
        </is>
      </c>
      <c r="C9" s="7" t="inlineStr">
        <is>
          <t>GA calibrado × LLM</t>
        </is>
      </c>
      <c r="D9" s="7" t="inlineStr">
        <is>
          <t>T-2703</t>
        </is>
      </c>
      <c r="E9" s="7" t="inlineStr">
        <is>
          <t>GA calibrado</t>
        </is>
      </c>
      <c r="F9" s="7" t="inlineStr">
        <is>
          <t>27, 94, 257, 382, 477, 492, 496, 500, 615</t>
        </is>
      </c>
      <c r="G9" s="7" t="inlineStr">
        <is>
          <t>T-5371</t>
        </is>
      </c>
      <c r="H9" s="7" t="inlineStr">
        <is>
          <t>LLM</t>
        </is>
      </c>
      <c r="I9" s="7" t="inlineStr">
        <is>
          <t>105, 142, 183, 354, 490, 532, 551, 686, 728</t>
        </is>
      </c>
      <c r="J9" s="7" t="inlineStr">
        <is>
          <t>A</t>
        </is>
      </c>
      <c r="K9" s="7" t="inlineStr">
        <is>
          <t>T-2703</t>
        </is>
      </c>
      <c r="L9" s="7" t="inlineStr">
        <is>
          <t>GA calibrado</t>
        </is>
      </c>
      <c r="M9" s="7" t="inlineStr">
        <is>
          <t>Sim</t>
        </is>
      </c>
      <c r="N9" s="7" t="inlineStr">
        <is>
          <t>Não</t>
        </is>
      </c>
      <c r="O9" s="7" t="n"/>
      <c r="P9" s="7" t="n"/>
      <c r="Q9" s="7" t="inlineStr">
        <is>
          <t>Não se aplica</t>
        </is>
      </c>
      <c r="R9" s="7" t="inlineStr">
        <is>
          <t>Comparação única para esta dupla de composições.</t>
        </is>
      </c>
      <c r="S9" s="7" t="n"/>
    </row>
    <row r="10">
      <c r="A10" s="7" t="inlineStr">
        <is>
          <t>C009</t>
        </is>
      </c>
      <c r="B10" s="7" t="inlineStr">
        <is>
          <t>P3</t>
        </is>
      </c>
      <c r="C10" s="7" t="inlineStr">
        <is>
          <t>GA calibrado × LLM</t>
        </is>
      </c>
      <c r="D10" s="7" t="inlineStr">
        <is>
          <t>T-6676</t>
        </is>
      </c>
      <c r="E10" s="7" t="inlineStr">
        <is>
          <t>GA calibrado</t>
        </is>
      </c>
      <c r="F10" s="7" t="inlineStr">
        <is>
          <t>211, 282, 336, 370, 415</t>
        </is>
      </c>
      <c r="G10" s="7" t="inlineStr">
        <is>
          <t>T-5527</t>
        </is>
      </c>
      <c r="H10" s="7" t="inlineStr">
        <is>
          <t>LLM</t>
        </is>
      </c>
      <c r="I10" s="7" t="inlineStr">
        <is>
          <t>82, 241, 453, 473, 538</t>
        </is>
      </c>
      <c r="J10" s="7" t="inlineStr">
        <is>
          <t>B</t>
        </is>
      </c>
      <c r="K10" s="7" t="inlineStr">
        <is>
          <t>T-5527</t>
        </is>
      </c>
      <c r="L10" s="7" t="inlineStr">
        <is>
          <t>LLM</t>
        </is>
      </c>
      <c r="M10" s="7" t="inlineStr">
        <is>
          <t>Não</t>
        </is>
      </c>
      <c r="N10" s="7" t="inlineStr">
        <is>
          <t>Não</t>
        </is>
      </c>
      <c r="O10" s="7" t="n"/>
      <c r="P10" s="7" t="inlineStr">
        <is>
          <t>R05</t>
        </is>
      </c>
      <c r="Q10" s="7" t="inlineStr">
        <is>
          <t>Consistente</t>
        </is>
      </c>
      <c r="R10" s="7" t="inlineStr">
        <is>
          <t>A mesma dupla de composições foi avaliada mais de uma vez; a decisão normalizada pelo conjunto de integrantes foi mantida.</t>
        </is>
      </c>
      <c r="S10" s="7" t="n"/>
    </row>
    <row r="11">
      <c r="A11" s="7" t="inlineStr">
        <is>
          <t>C010</t>
        </is>
      </c>
      <c r="B11" s="7" t="inlineStr">
        <is>
          <t>P3</t>
        </is>
      </c>
      <c r="C11" s="7" t="inlineStr">
        <is>
          <t>GA calibrado × equipe histórica</t>
        </is>
      </c>
      <c r="D11" s="7" t="inlineStr">
        <is>
          <t>T-6676</t>
        </is>
      </c>
      <c r="E11" s="7" t="inlineStr">
        <is>
          <t>GA calibrado</t>
        </is>
      </c>
      <c r="F11" s="7" t="inlineStr">
        <is>
          <t>211, 282, 336, 370, 415</t>
        </is>
      </c>
      <c r="G11" s="7" t="inlineStr">
        <is>
          <t>T-4824</t>
        </is>
      </c>
      <c r="H11" s="7" t="inlineStr">
        <is>
          <t>Equipe histórica</t>
        </is>
      </c>
      <c r="I11" s="7" t="inlineStr">
        <is>
          <t>82, 241, 453, 473, 538</t>
        </is>
      </c>
      <c r="J11" s="7" t="inlineStr">
        <is>
          <t>B</t>
        </is>
      </c>
      <c r="K11" s="7" t="inlineStr">
        <is>
          <t>T-4824</t>
        </is>
      </c>
      <c r="L11" s="7" t="inlineStr">
        <is>
          <t>Equipe histórica</t>
        </is>
      </c>
      <c r="M11" s="7" t="inlineStr">
        <is>
          <t>Não</t>
        </is>
      </c>
      <c r="N11" s="7" t="inlineStr">
        <is>
          <t>Sim</t>
        </is>
      </c>
      <c r="O11" s="7" t="inlineStr">
        <is>
          <t>C022</t>
        </is>
      </c>
      <c r="P11" s="7" t="inlineStr">
        <is>
          <t>R05</t>
        </is>
      </c>
      <c r="Q11" s="7" t="inlineStr">
        <is>
          <t>Consistente</t>
        </is>
      </c>
      <c r="R11" s="7" t="inlineStr">
        <is>
          <t>A mesma dupla de composições foi avaliada mais de uma vez; a decisão normalizada pelo conjunto de integrantes foi mantida.</t>
        </is>
      </c>
      <c r="S11" s="7" t="n"/>
    </row>
    <row r="12">
      <c r="A12" s="7" t="inlineStr">
        <is>
          <t>C011</t>
        </is>
      </c>
      <c r="B12" s="7" t="inlineStr">
        <is>
          <t>P9</t>
        </is>
      </c>
      <c r="C12" s="7" t="inlineStr">
        <is>
          <t>GA calibrado × GA uniforme</t>
        </is>
      </c>
      <c r="D12" s="7" t="inlineStr">
        <is>
          <t>T-1384</t>
        </is>
      </c>
      <c r="E12" s="7" t="inlineStr">
        <is>
          <t>GA calibrado</t>
        </is>
      </c>
      <c r="F12" s="7" t="inlineStr">
        <is>
          <t>94, 290, 382, 484, 560, 647</t>
        </is>
      </c>
      <c r="G12" s="7" t="inlineStr">
        <is>
          <t>T-8573</t>
        </is>
      </c>
      <c r="H12" s="7" t="inlineStr">
        <is>
          <t>GA uniforme</t>
        </is>
      </c>
      <c r="I12" s="7" t="inlineStr">
        <is>
          <t>282, 335, 336, 398, 415, 467</t>
        </is>
      </c>
      <c r="J12" s="7" t="inlineStr">
        <is>
          <t>Equivalente</t>
        </is>
      </c>
      <c r="K12" s="7" t="n"/>
      <c r="L12" s="7" t="inlineStr">
        <is>
          <t>Equivalente</t>
        </is>
      </c>
      <c r="M12" s="7" t="inlineStr">
        <is>
          <t>Empate</t>
        </is>
      </c>
      <c r="N12" s="7" t="inlineStr">
        <is>
          <t>Sim</t>
        </is>
      </c>
      <c r="O12" s="7" t="inlineStr">
        <is>
          <t>C034</t>
        </is>
      </c>
      <c r="P12" s="7" t="inlineStr">
        <is>
          <t>R06</t>
        </is>
      </c>
      <c r="Q12" s="7" t="inlineStr">
        <is>
          <t>Inconsistente</t>
        </is>
      </c>
      <c r="R12" s="7" t="inlineStr">
        <is>
          <t>A mesma dupla de composições foi avaliada mais de uma vez, mas a composição escolhida mudou.</t>
        </is>
      </c>
      <c r="S12" s="7" t="n"/>
    </row>
    <row r="13">
      <c r="A13" s="7" t="inlineStr">
        <is>
          <t>C012</t>
        </is>
      </c>
      <c r="B13" s="7" t="inlineStr">
        <is>
          <t>P2</t>
        </is>
      </c>
      <c r="C13" s="7" t="inlineStr">
        <is>
          <t>GA calibrado × GA uniforme</t>
        </is>
      </c>
      <c r="D13" s="7" t="inlineStr">
        <is>
          <t>T-9068</t>
        </is>
      </c>
      <c r="E13" s="7" t="inlineStr">
        <is>
          <t>GA uniforme</t>
        </is>
      </c>
      <c r="F13" s="7" t="inlineStr">
        <is>
          <t>94, 183, 290, 382, 402, 484, 500, 560</t>
        </is>
      </c>
      <c r="G13" s="7" t="inlineStr">
        <is>
          <t>T-4526</t>
        </is>
      </c>
      <c r="H13" s="7" t="inlineStr">
        <is>
          <t>GA calibrado</t>
        </is>
      </c>
      <c r="I13" s="7" t="inlineStr">
        <is>
          <t>7, 33, 94, 290, 397, 447, 484, 560</t>
        </is>
      </c>
      <c r="J13" s="7" t="inlineStr">
        <is>
          <t>A</t>
        </is>
      </c>
      <c r="K13" s="7" t="inlineStr">
        <is>
          <t>T-9068</t>
        </is>
      </c>
      <c r="L13" s="7" t="inlineStr">
        <is>
          <t>GA uniforme</t>
        </is>
      </c>
      <c r="M13" s="7" t="inlineStr">
        <is>
          <t>Não</t>
        </is>
      </c>
      <c r="N13" s="7" t="inlineStr">
        <is>
          <t>Não</t>
        </is>
      </c>
      <c r="O13" s="7" t="n"/>
      <c r="P13" s="7" t="n"/>
      <c r="Q13" s="7" t="inlineStr">
        <is>
          <t>Não se aplica</t>
        </is>
      </c>
      <c r="R13" s="7" t="inlineStr">
        <is>
          <t>Comparação única para esta dupla de composições.</t>
        </is>
      </c>
      <c r="S13" s="7" t="n"/>
    </row>
    <row r="14">
      <c r="A14" s="7" t="inlineStr">
        <is>
          <t>C013</t>
        </is>
      </c>
      <c r="B14" s="7" t="inlineStr">
        <is>
          <t>P16</t>
        </is>
      </c>
      <c r="C14" s="7" t="inlineStr">
        <is>
          <t>GA calibrado × GA uniforme</t>
        </is>
      </c>
      <c r="D14" s="7" t="inlineStr">
        <is>
          <t>T-9373</t>
        </is>
      </c>
      <c r="E14" s="7" t="inlineStr">
        <is>
          <t>GA calibrado</t>
        </is>
      </c>
      <c r="F14" s="7" t="inlineStr">
        <is>
          <t>81, 282, 316, 317, 336, 370, 398, 415, 467</t>
        </is>
      </c>
      <c r="G14" s="7" t="inlineStr">
        <is>
          <t>T-9137</t>
        </is>
      </c>
      <c r="H14" s="7" t="inlineStr">
        <is>
          <t>GA uniforme</t>
        </is>
      </c>
      <c r="I14" s="7" t="inlineStr">
        <is>
          <t>65, 94, 181, 183, 290, 363, 382, 500, 560</t>
        </is>
      </c>
      <c r="J14" s="7" t="inlineStr">
        <is>
          <t>A</t>
        </is>
      </c>
      <c r="K14" s="7" t="inlineStr">
        <is>
          <t>T-9373</t>
        </is>
      </c>
      <c r="L14" s="7" t="inlineStr">
        <is>
          <t>GA calibrado</t>
        </is>
      </c>
      <c r="M14" s="7" t="inlineStr">
        <is>
          <t>Sim</t>
        </is>
      </c>
      <c r="N14" s="7" t="inlineStr">
        <is>
          <t>Não</t>
        </is>
      </c>
      <c r="O14" s="7" t="n"/>
      <c r="P14" s="7" t="n"/>
      <c r="Q14" s="7" t="inlineStr">
        <is>
          <t>Não se aplica</t>
        </is>
      </c>
      <c r="R14" s="7" t="inlineStr">
        <is>
          <t>Comparação única para esta dupla de composições.</t>
        </is>
      </c>
      <c r="S14" s="7" t="n"/>
    </row>
    <row r="15">
      <c r="A15" s="7" t="inlineStr">
        <is>
          <t>C014</t>
        </is>
      </c>
      <c r="B15" s="7" t="inlineStr">
        <is>
          <t>P13</t>
        </is>
      </c>
      <c r="C15" s="7" t="inlineStr">
        <is>
          <t>GA calibrado × GA uniforme</t>
        </is>
      </c>
      <c r="D15" s="7" t="inlineStr">
        <is>
          <t>T-2072</t>
        </is>
      </c>
      <c r="E15" s="7" t="inlineStr">
        <is>
          <t>GA uniforme</t>
        </is>
      </c>
      <c r="F15" s="7" t="inlineStr">
        <is>
          <t>316, 571, 589, 700</t>
        </is>
      </c>
      <c r="G15" s="7" t="inlineStr">
        <is>
          <t>T-1559</t>
        </is>
      </c>
      <c r="H15" s="7" t="inlineStr">
        <is>
          <t>GA calibrado</t>
        </is>
      </c>
      <c r="I15" s="7" t="inlineStr">
        <is>
          <t>498, 583, 589, 720</t>
        </is>
      </c>
      <c r="J15" s="7" t="inlineStr">
        <is>
          <t>B</t>
        </is>
      </c>
      <c r="K15" s="7" t="inlineStr">
        <is>
          <t>T-1559</t>
        </is>
      </c>
      <c r="L15" s="7" t="inlineStr">
        <is>
          <t>GA calibrado</t>
        </is>
      </c>
      <c r="M15" s="7" t="inlineStr">
        <is>
          <t>Sim</t>
        </is>
      </c>
      <c r="N15" s="7" t="inlineStr">
        <is>
          <t>Não</t>
        </is>
      </c>
      <c r="O15" s="7" t="n"/>
      <c r="P15" s="7" t="n"/>
      <c r="Q15" s="7" t="inlineStr">
        <is>
          <t>Não se aplica</t>
        </is>
      </c>
      <c r="R15" s="7" t="inlineStr">
        <is>
          <t>Comparação única para esta dupla de composições.</t>
        </is>
      </c>
      <c r="S15" s="7" t="n"/>
    </row>
    <row r="16">
      <c r="A16" s="7" t="inlineStr">
        <is>
          <t>C015</t>
        </is>
      </c>
      <c r="B16" s="7" t="inlineStr">
        <is>
          <t>P15</t>
        </is>
      </c>
      <c r="C16" s="7" t="inlineStr">
        <is>
          <t>GA calibrado × equipe histórica</t>
        </is>
      </c>
      <c r="D16" s="7" t="inlineStr">
        <is>
          <t>T-9656</t>
        </is>
      </c>
      <c r="E16" s="7" t="inlineStr">
        <is>
          <t>GA calibrado</t>
        </is>
      </c>
      <c r="F16" s="7" t="inlineStr">
        <is>
          <t>467, 498, 563, 570, 583</t>
        </is>
      </c>
      <c r="G16" s="7" t="inlineStr">
        <is>
          <t>T-7475</t>
        </is>
      </c>
      <c r="H16" s="7" t="inlineStr">
        <is>
          <t>Equipe histórica</t>
        </is>
      </c>
      <c r="I16" s="7" t="inlineStr">
        <is>
          <t>247, 398, 582, 608, 705</t>
        </is>
      </c>
      <c r="J16" s="7" t="inlineStr">
        <is>
          <t>A</t>
        </is>
      </c>
      <c r="K16" s="7" t="inlineStr">
        <is>
          <t>T-9656</t>
        </is>
      </c>
      <c r="L16" s="7" t="inlineStr">
        <is>
          <t>GA calibrado</t>
        </is>
      </c>
      <c r="M16" s="7" t="inlineStr">
        <is>
          <t>Sim</t>
        </is>
      </c>
      <c r="N16" s="7" t="inlineStr">
        <is>
          <t>Não</t>
        </is>
      </c>
      <c r="O16" s="7" t="n"/>
      <c r="P16" s="7" t="n"/>
      <c r="Q16" s="7" t="inlineStr">
        <is>
          <t>Não se aplica</t>
        </is>
      </c>
      <c r="R16" s="7" t="inlineStr">
        <is>
          <t>Comparação única para esta dupla de composições.</t>
        </is>
      </c>
      <c r="S16" s="7" t="n"/>
    </row>
    <row r="17">
      <c r="A17" s="7" t="inlineStr">
        <is>
          <t>C016</t>
        </is>
      </c>
      <c r="B17" s="7" t="inlineStr">
        <is>
          <t>P15</t>
        </is>
      </c>
      <c r="C17" s="7" t="inlineStr">
        <is>
          <t>GA calibrado × LLM</t>
        </is>
      </c>
      <c r="D17" s="7" t="inlineStr">
        <is>
          <t>T-1406</t>
        </is>
      </c>
      <c r="E17" s="7" t="inlineStr">
        <is>
          <t>LLM</t>
        </is>
      </c>
      <c r="F17" s="7" t="inlineStr">
        <is>
          <t>183, 247, 398, 582, 608</t>
        </is>
      </c>
      <c r="G17" s="7" t="inlineStr">
        <is>
          <t>T-9656</t>
        </is>
      </c>
      <c r="H17" s="7" t="inlineStr">
        <is>
          <t>GA calibrado</t>
        </is>
      </c>
      <c r="I17" s="7" t="inlineStr">
        <is>
          <t>467, 498, 563, 570, 583</t>
        </is>
      </c>
      <c r="J17" s="7" t="inlineStr">
        <is>
          <t>B</t>
        </is>
      </c>
      <c r="K17" s="7" t="inlineStr">
        <is>
          <t>T-9656</t>
        </is>
      </c>
      <c r="L17" s="7" t="inlineStr">
        <is>
          <t>GA calibrado</t>
        </is>
      </c>
      <c r="M17" s="7" t="inlineStr">
        <is>
          <t>Sim</t>
        </is>
      </c>
      <c r="N17" s="7" t="inlineStr">
        <is>
          <t>Não</t>
        </is>
      </c>
      <c r="O17" s="7" t="n"/>
      <c r="P17" s="7" t="n"/>
      <c r="Q17" s="7" t="inlineStr">
        <is>
          <t>Não se aplica</t>
        </is>
      </c>
      <c r="R17" s="7" t="inlineStr">
        <is>
          <t>Comparação única para esta dupla de composições.</t>
        </is>
      </c>
      <c r="S17" s="7" t="n"/>
    </row>
    <row r="18">
      <c r="A18" s="7" t="inlineStr">
        <is>
          <t>C017</t>
        </is>
      </c>
      <c r="B18" s="7" t="inlineStr">
        <is>
          <t>P1</t>
        </is>
      </c>
      <c r="C18" s="7" t="inlineStr">
        <is>
          <t>GA calibrado × equipe histórica</t>
        </is>
      </c>
      <c r="D18" s="7" t="inlineStr">
        <is>
          <t>T-6473</t>
        </is>
      </c>
      <c r="E18" s="7" t="inlineStr">
        <is>
          <t>GA calibrado</t>
        </is>
      </c>
      <c r="F18" s="7" t="inlineStr">
        <is>
          <t>170, 220, 305, 324, 359, 448, 503, 543, 578</t>
        </is>
      </c>
      <c r="G18" s="7" t="inlineStr">
        <is>
          <t>T-2735</t>
        </is>
      </c>
      <c r="H18" s="7" t="inlineStr">
        <is>
          <t>Equipe histórica</t>
        </is>
      </c>
      <c r="I18" s="7" t="inlineStr">
        <is>
          <t>18, 27, 63, 178, 435, 447, 482, 636, 655</t>
        </is>
      </c>
      <c r="J18" s="7" t="inlineStr">
        <is>
          <t>Equivalente</t>
        </is>
      </c>
      <c r="K18" s="7" t="n"/>
      <c r="L18" s="7" t="inlineStr">
        <is>
          <t>Equivalente</t>
        </is>
      </c>
      <c r="M18" s="7" t="inlineStr">
        <is>
          <t>Empate</t>
        </is>
      </c>
      <c r="N18" s="7" t="inlineStr">
        <is>
          <t>Não</t>
        </is>
      </c>
      <c r="O18" s="7" t="n"/>
      <c r="P18" s="7" t="n"/>
      <c r="Q18" s="7" t="inlineStr">
        <is>
          <t>Não se aplica</t>
        </is>
      </c>
      <c r="R18" s="7" t="inlineStr">
        <is>
          <t>Comparação única para esta dupla de composições.</t>
        </is>
      </c>
      <c r="S18" s="7" t="n"/>
    </row>
    <row r="19">
      <c r="A19" s="7" t="inlineStr">
        <is>
          <t>C018</t>
        </is>
      </c>
      <c r="B19" s="7" t="inlineStr">
        <is>
          <t>P2</t>
        </is>
      </c>
      <c r="C19" s="7" t="inlineStr">
        <is>
          <t>GA calibrado × equipe histórica</t>
        </is>
      </c>
      <c r="D19" s="7" t="inlineStr">
        <is>
          <t>T-9319</t>
        </is>
      </c>
      <c r="E19" s="7" t="inlineStr">
        <is>
          <t>Equipe histórica</t>
        </is>
      </c>
      <c r="F19" s="7" t="inlineStr">
        <is>
          <t>169, 177, 222, 457, 479, 545, 550, 676</t>
        </is>
      </c>
      <c r="G19" s="7" t="inlineStr">
        <is>
          <t>T-4526</t>
        </is>
      </c>
      <c r="H19" s="7" t="inlineStr">
        <is>
          <t>GA calibrado</t>
        </is>
      </c>
      <c r="I19" s="7" t="inlineStr">
        <is>
          <t>7, 33, 94, 290, 397, 447, 484, 560</t>
        </is>
      </c>
      <c r="J19" s="7" t="inlineStr">
        <is>
          <t>B</t>
        </is>
      </c>
      <c r="K19" s="7" t="inlineStr">
        <is>
          <t>T-4526</t>
        </is>
      </c>
      <c r="L19" s="7" t="inlineStr">
        <is>
          <t>GA calibrado</t>
        </is>
      </c>
      <c r="M19" s="7" t="inlineStr">
        <is>
          <t>Sim</t>
        </is>
      </c>
      <c r="N19" s="7" t="inlineStr">
        <is>
          <t>Não</t>
        </is>
      </c>
      <c r="O19" s="7" t="n"/>
      <c r="P19" s="7" t="inlineStr">
        <is>
          <t>R07</t>
        </is>
      </c>
      <c r="Q19" s="7" t="inlineStr">
        <is>
          <t>Inconsistente</t>
        </is>
      </c>
      <c r="R19" s="7" t="inlineStr">
        <is>
          <t>A mesma dupla de composições foi avaliada mais de uma vez, mas a composição escolhida mudou.</t>
        </is>
      </c>
      <c r="S19" s="7" t="n"/>
    </row>
    <row r="20">
      <c r="A20" s="7" t="inlineStr">
        <is>
          <t>C019</t>
        </is>
      </c>
      <c r="B20" s="7" t="inlineStr">
        <is>
          <t>P1</t>
        </is>
      </c>
      <c r="C20" s="7" t="inlineStr">
        <is>
          <t>GA calibrado × LLM</t>
        </is>
      </c>
      <c r="D20" s="7" t="inlineStr">
        <is>
          <t>T-8343</t>
        </is>
      </c>
      <c r="E20" s="7" t="inlineStr">
        <is>
          <t>LLM</t>
        </is>
      </c>
      <c r="F20" s="7" t="inlineStr">
        <is>
          <t>27, 63, 178, 435, 447, 482, 495, 636, 655</t>
        </is>
      </c>
      <c r="G20" s="7" t="inlineStr">
        <is>
          <t>T-6473</t>
        </is>
      </c>
      <c r="H20" s="7" t="inlineStr">
        <is>
          <t>GA calibrado</t>
        </is>
      </c>
      <c r="I20" s="7" t="inlineStr">
        <is>
          <t>170, 220, 305, 324, 359, 448, 503, 543, 578</t>
        </is>
      </c>
      <c r="J20" s="7" t="inlineStr">
        <is>
          <t>A</t>
        </is>
      </c>
      <c r="K20" s="7" t="inlineStr">
        <is>
          <t>T-8343</t>
        </is>
      </c>
      <c r="L20" s="7" t="inlineStr">
        <is>
          <t>LLM</t>
        </is>
      </c>
      <c r="M20" s="7" t="inlineStr">
        <is>
          <t>Não</t>
        </is>
      </c>
      <c r="N20" s="7" t="inlineStr">
        <is>
          <t>Sim</t>
        </is>
      </c>
      <c r="O20" s="7" t="inlineStr">
        <is>
          <t>C025</t>
        </is>
      </c>
      <c r="P20" s="7" t="inlineStr">
        <is>
          <t>R08</t>
        </is>
      </c>
      <c r="Q20" s="7" t="inlineStr">
        <is>
          <t>Consistente</t>
        </is>
      </c>
      <c r="R20" s="7" t="inlineStr">
        <is>
          <t>A mesma dupla de composições foi avaliada mais de uma vez; a decisão normalizada pelo conjunto de integrantes foi mantida.</t>
        </is>
      </c>
      <c r="S20" s="7" t="n"/>
    </row>
    <row r="21">
      <c r="A21" s="7" t="inlineStr">
        <is>
          <t>C020</t>
        </is>
      </c>
      <c r="B21" s="7" t="inlineStr">
        <is>
          <t>P8</t>
        </is>
      </c>
      <c r="C21" s="7" t="inlineStr">
        <is>
          <t>GA calibrado × LLM</t>
        </is>
      </c>
      <c r="D21" s="7" t="inlineStr">
        <is>
          <t>T-1457</t>
        </is>
      </c>
      <c r="E21" s="7" t="inlineStr">
        <is>
          <t>GA calibrado</t>
        </is>
      </c>
      <c r="F21" s="7" t="inlineStr">
        <is>
          <t>81, 336, 370, 398, 415</t>
        </is>
      </c>
      <c r="G21" s="7" t="inlineStr">
        <is>
          <t>T-4070</t>
        </is>
      </c>
      <c r="H21" s="7" t="inlineStr">
        <is>
          <t>LLM</t>
        </is>
      </c>
      <c r="I21" s="7" t="inlineStr">
        <is>
          <t>8, 145, 520, 656, 688</t>
        </is>
      </c>
      <c r="J21" s="7" t="inlineStr">
        <is>
          <t>B</t>
        </is>
      </c>
      <c r="K21" s="7" t="inlineStr">
        <is>
          <t>T-4070</t>
        </is>
      </c>
      <c r="L21" s="7" t="inlineStr">
        <is>
          <t>LLM</t>
        </is>
      </c>
      <c r="M21" s="7" t="inlineStr">
        <is>
          <t>Não</t>
        </is>
      </c>
      <c r="N21" s="7" t="inlineStr">
        <is>
          <t>Não</t>
        </is>
      </c>
      <c r="O21" s="7" t="n"/>
      <c r="P21" s="7" t="n"/>
      <c r="Q21" s="7" t="inlineStr">
        <is>
          <t>Não se aplica</t>
        </is>
      </c>
      <c r="R21" s="7" t="inlineStr">
        <is>
          <t>Comparação única para esta dupla de composições.</t>
        </is>
      </c>
      <c r="S21" s="7" t="n"/>
    </row>
    <row r="22">
      <c r="A22" s="7" t="inlineStr">
        <is>
          <t>C021</t>
        </is>
      </c>
      <c r="B22" s="7" t="inlineStr">
        <is>
          <t>P13</t>
        </is>
      </c>
      <c r="C22" s="7" t="inlineStr">
        <is>
          <t>GA calibrado × LLM</t>
        </is>
      </c>
      <c r="D22" s="7" t="inlineStr">
        <is>
          <t>T-6948</t>
        </is>
      </c>
      <c r="E22" s="7" t="inlineStr">
        <is>
          <t>LLM</t>
        </is>
      </c>
      <c r="F22" s="7" t="inlineStr">
        <is>
          <t>583, 589, 700, 720</t>
        </is>
      </c>
      <c r="G22" s="7" t="inlineStr">
        <is>
          <t>T-1559</t>
        </is>
      </c>
      <c r="H22" s="7" t="inlineStr">
        <is>
          <t>GA calibrado</t>
        </is>
      </c>
      <c r="I22" s="7" t="inlineStr">
        <is>
          <t>498, 583, 589, 720</t>
        </is>
      </c>
      <c r="J22" s="7" t="inlineStr">
        <is>
          <t>Equivalente</t>
        </is>
      </c>
      <c r="K22" s="7" t="n"/>
      <c r="L22" s="7" t="inlineStr">
        <is>
          <t>Equivalente</t>
        </is>
      </c>
      <c r="M22" s="7" t="inlineStr">
        <is>
          <t>Empate</t>
        </is>
      </c>
      <c r="N22" s="7" t="inlineStr">
        <is>
          <t>Não</t>
        </is>
      </c>
      <c r="O22" s="7" t="n"/>
      <c r="P22" s="7" t="n"/>
      <c r="Q22" s="7" t="inlineStr">
        <is>
          <t>Não se aplica</t>
        </is>
      </c>
      <c r="R22" s="7" t="inlineStr">
        <is>
          <t>Comparação única para esta dupla de composições.</t>
        </is>
      </c>
      <c r="S22" s="7" t="n"/>
    </row>
    <row r="23">
      <c r="A23" s="7" t="inlineStr">
        <is>
          <t>C022</t>
        </is>
      </c>
      <c r="B23" s="7" t="inlineStr">
        <is>
          <t>P3</t>
        </is>
      </c>
      <c r="C23" s="7" t="inlineStr">
        <is>
          <t>GA calibrado × equipe histórica</t>
        </is>
      </c>
      <c r="D23" s="7" t="inlineStr">
        <is>
          <t>T-4824</t>
        </is>
      </c>
      <c r="E23" s="7" t="inlineStr">
        <is>
          <t>Equipe histórica</t>
        </is>
      </c>
      <c r="F23" s="7" t="inlineStr">
        <is>
          <t>82, 241, 453, 473, 538</t>
        </is>
      </c>
      <c r="G23" s="7" t="inlineStr">
        <is>
          <t>T-6676</t>
        </is>
      </c>
      <c r="H23" s="7" t="inlineStr">
        <is>
          <t>GA calibrado</t>
        </is>
      </c>
      <c r="I23" s="7" t="inlineStr">
        <is>
          <t>211, 282, 336, 370, 415</t>
        </is>
      </c>
      <c r="J23" s="7" t="inlineStr">
        <is>
          <t>A</t>
        </is>
      </c>
      <c r="K23" s="7" t="inlineStr">
        <is>
          <t>T-4824</t>
        </is>
      </c>
      <c r="L23" s="7" t="inlineStr">
        <is>
          <t>Equipe histórica</t>
        </is>
      </c>
      <c r="M23" s="7" t="inlineStr">
        <is>
          <t>Não</t>
        </is>
      </c>
      <c r="N23" s="7" t="inlineStr">
        <is>
          <t>Não</t>
        </is>
      </c>
      <c r="O23" s="7" t="n"/>
      <c r="P23" s="7" t="inlineStr">
        <is>
          <t>R05</t>
        </is>
      </c>
      <c r="Q23" s="7" t="inlineStr">
        <is>
          <t>Consistente</t>
        </is>
      </c>
      <c r="R23" s="7" t="inlineStr">
        <is>
          <t>A mesma dupla de composições foi avaliada mais de uma vez; a decisão normalizada pelo conjunto de integrantes foi mantida.</t>
        </is>
      </c>
      <c r="S23" s="7" t="n"/>
    </row>
    <row r="24">
      <c r="A24" s="7" t="inlineStr">
        <is>
          <t>C023</t>
        </is>
      </c>
      <c r="B24" s="7" t="inlineStr">
        <is>
          <t>P12</t>
        </is>
      </c>
      <c r="C24" s="7" t="inlineStr">
        <is>
          <t>GA calibrado × GA uniforme</t>
        </is>
      </c>
      <c r="D24" s="7" t="inlineStr">
        <is>
          <t>T-7216</t>
        </is>
      </c>
      <c r="E24" s="7" t="inlineStr">
        <is>
          <t>GA uniforme</t>
        </is>
      </c>
      <c r="F24" s="7" t="inlineStr">
        <is>
          <t>317, 398, 467, 498</t>
        </is>
      </c>
      <c r="G24" s="7" t="inlineStr">
        <is>
          <t>T-8599</t>
        </is>
      </c>
      <c r="H24" s="7" t="inlineStr">
        <is>
          <t>GA calibrado</t>
        </is>
      </c>
      <c r="I24" s="7" t="inlineStr">
        <is>
          <t>398, 415, 458, 467</t>
        </is>
      </c>
      <c r="J24" s="7" t="inlineStr">
        <is>
          <t>A</t>
        </is>
      </c>
      <c r="K24" s="7" t="inlineStr">
        <is>
          <t>T-7216</t>
        </is>
      </c>
      <c r="L24" s="7" t="inlineStr">
        <is>
          <t>GA uniforme</t>
        </is>
      </c>
      <c r="M24" s="7" t="inlineStr">
        <is>
          <t>Não</t>
        </is>
      </c>
      <c r="N24" s="7" t="inlineStr">
        <is>
          <t>Não</t>
        </is>
      </c>
      <c r="O24" s="7" t="n"/>
      <c r="P24" s="7" t="n"/>
      <c r="Q24" s="7" t="inlineStr">
        <is>
          <t>Não se aplica</t>
        </is>
      </c>
      <c r="R24" s="7" t="inlineStr">
        <is>
          <t>Comparação única para esta dupla de composições.</t>
        </is>
      </c>
      <c r="S24" s="7" t="n"/>
    </row>
    <row r="25">
      <c r="A25" s="7" t="inlineStr">
        <is>
          <t>C024</t>
        </is>
      </c>
      <c r="B25" s="7" t="inlineStr">
        <is>
          <t>P6</t>
        </is>
      </c>
      <c r="C25" s="7" t="inlineStr">
        <is>
          <t>GA calibrado × LLM</t>
        </is>
      </c>
      <c r="D25" s="7" t="inlineStr">
        <is>
          <t>T-4484</t>
        </is>
      </c>
      <c r="E25" s="7" t="inlineStr">
        <is>
          <t>LLM</t>
        </is>
      </c>
      <c r="F25" s="7" t="inlineStr">
        <is>
          <t>114, 311, 453, 483, 490, 494, 637</t>
        </is>
      </c>
      <c r="G25" s="7" t="inlineStr">
        <is>
          <t>T-4412</t>
        </is>
      </c>
      <c r="H25" s="7" t="inlineStr">
        <is>
          <t>GA calibrado</t>
        </is>
      </c>
      <c r="I25" s="7" t="inlineStr">
        <is>
          <t>94, 183, 290, 363, 382, 402, 484</t>
        </is>
      </c>
      <c r="J25" s="7" t="inlineStr">
        <is>
          <t>A</t>
        </is>
      </c>
      <c r="K25" s="7" t="inlineStr">
        <is>
          <t>T-4484</t>
        </is>
      </c>
      <c r="L25" s="7" t="inlineStr">
        <is>
          <t>LLM</t>
        </is>
      </c>
      <c r="M25" s="7" t="inlineStr">
        <is>
          <t>Não</t>
        </is>
      </c>
      <c r="N25" s="7" t="inlineStr">
        <is>
          <t>Não</t>
        </is>
      </c>
      <c r="O25" s="7" t="n"/>
      <c r="P25" s="7" t="inlineStr">
        <is>
          <t>R09</t>
        </is>
      </c>
      <c r="Q25" s="7" t="inlineStr">
        <is>
          <t>Consistente</t>
        </is>
      </c>
      <c r="R25" s="7" t="inlineStr">
        <is>
          <t>A mesma dupla de composições foi avaliada mais de uma vez; a decisão normalizada pelo conjunto de integrantes foi mantida.</t>
        </is>
      </c>
      <c r="S25" s="7" t="n"/>
    </row>
    <row r="26">
      <c r="A26" s="7" t="inlineStr">
        <is>
          <t>C025</t>
        </is>
      </c>
      <c r="B26" s="7" t="inlineStr">
        <is>
          <t>P1</t>
        </is>
      </c>
      <c r="C26" s="7" t="inlineStr">
        <is>
          <t>GA calibrado × LLM</t>
        </is>
      </c>
      <c r="D26" s="7" t="inlineStr">
        <is>
          <t>T-6473</t>
        </is>
      </c>
      <c r="E26" s="7" t="inlineStr">
        <is>
          <t>GA calibrado</t>
        </is>
      </c>
      <c r="F26" s="7" t="inlineStr">
        <is>
          <t>170, 220, 305, 324, 359, 448, 503, 543, 578</t>
        </is>
      </c>
      <c r="G26" s="7" t="inlineStr">
        <is>
          <t>T-8343</t>
        </is>
      </c>
      <c r="H26" s="7" t="inlineStr">
        <is>
          <t>LLM</t>
        </is>
      </c>
      <c r="I26" s="7" t="inlineStr">
        <is>
          <t>27, 63, 178, 435, 447, 482, 495, 636, 655</t>
        </is>
      </c>
      <c r="J26" s="7" t="inlineStr">
        <is>
          <t>B</t>
        </is>
      </c>
      <c r="K26" s="7" t="inlineStr">
        <is>
          <t>T-8343</t>
        </is>
      </c>
      <c r="L26" s="7" t="inlineStr">
        <is>
          <t>LLM</t>
        </is>
      </c>
      <c r="M26" s="7" t="inlineStr">
        <is>
          <t>Não</t>
        </is>
      </c>
      <c r="N26" s="7" t="inlineStr">
        <is>
          <t>Não</t>
        </is>
      </c>
      <c r="O26" s="7" t="n"/>
      <c r="P26" s="7" t="inlineStr">
        <is>
          <t>R08</t>
        </is>
      </c>
      <c r="Q26" s="7" t="inlineStr">
        <is>
          <t>Consistente</t>
        </is>
      </c>
      <c r="R26" s="7" t="inlineStr">
        <is>
          <t>A mesma dupla de composições foi avaliada mais de uma vez; a decisão normalizada pelo conjunto de integrantes foi mantida.</t>
        </is>
      </c>
      <c r="S26" s="7" t="n"/>
    </row>
    <row r="27">
      <c r="A27" s="7" t="inlineStr">
        <is>
          <t>C026</t>
        </is>
      </c>
      <c r="B27" s="7" t="inlineStr">
        <is>
          <t>P3</t>
        </is>
      </c>
      <c r="C27" s="7" t="inlineStr">
        <is>
          <t>GA calibrado × GA uniforme</t>
        </is>
      </c>
      <c r="D27" s="7" t="inlineStr">
        <is>
          <t>T-5095</t>
        </is>
      </c>
      <c r="E27" s="7" t="inlineStr">
        <is>
          <t>GA uniforme</t>
        </is>
      </c>
      <c r="F27" s="7" t="inlineStr">
        <is>
          <t>81, 282, 336, 370, 415</t>
        </is>
      </c>
      <c r="G27" s="7" t="inlineStr">
        <is>
          <t>T-6676</t>
        </is>
      </c>
      <c r="H27" s="7" t="inlineStr">
        <is>
          <t>GA calibrado</t>
        </is>
      </c>
      <c r="I27" s="7" t="inlineStr">
        <is>
          <t>211, 282, 336, 370, 415</t>
        </is>
      </c>
      <c r="J27" s="7" t="inlineStr">
        <is>
          <t>Equivalente</t>
        </is>
      </c>
      <c r="K27" s="7" t="n"/>
      <c r="L27" s="7" t="inlineStr">
        <is>
          <t>Equivalente</t>
        </is>
      </c>
      <c r="M27" s="7" t="inlineStr">
        <is>
          <t>Empate</t>
        </is>
      </c>
      <c r="N27" s="7" t="inlineStr">
        <is>
          <t>Não</t>
        </is>
      </c>
      <c r="O27" s="7" t="n"/>
      <c r="P27" s="7" t="n"/>
      <c r="Q27" s="7" t="inlineStr">
        <is>
          <t>Não se aplica</t>
        </is>
      </c>
      <c r="R27" s="7" t="inlineStr">
        <is>
          <t>Comparação única para esta dupla de composições.</t>
        </is>
      </c>
      <c r="S27" s="7" t="n"/>
    </row>
    <row r="28">
      <c r="A28" s="7" t="inlineStr">
        <is>
          <t>C027</t>
        </is>
      </c>
      <c r="B28" s="7" t="inlineStr">
        <is>
          <t>P15</t>
        </is>
      </c>
      <c r="C28" s="7" t="inlineStr">
        <is>
          <t>GA calibrado × GA uniforme</t>
        </is>
      </c>
      <c r="D28" s="7" t="inlineStr">
        <is>
          <t>T-9656</t>
        </is>
      </c>
      <c r="E28" s="7" t="inlineStr">
        <is>
          <t>GA calibrado</t>
        </is>
      </c>
      <c r="F28" s="7" t="inlineStr">
        <is>
          <t>467, 498, 563, 570, 583</t>
        </is>
      </c>
      <c r="G28" s="7" t="inlineStr">
        <is>
          <t>T-2273</t>
        </is>
      </c>
      <c r="H28" s="7" t="inlineStr">
        <is>
          <t>GA uniforme</t>
        </is>
      </c>
      <c r="I28" s="7" t="inlineStr">
        <is>
          <t>498, 570, 579, 583, 589</t>
        </is>
      </c>
      <c r="J28" s="7" t="inlineStr">
        <is>
          <t>Equivalente</t>
        </is>
      </c>
      <c r="K28" s="7" t="n"/>
      <c r="L28" s="7" t="inlineStr">
        <is>
          <t>Equivalente</t>
        </is>
      </c>
      <c r="M28" s="7" t="inlineStr">
        <is>
          <t>Empate</t>
        </is>
      </c>
      <c r="N28" s="7" t="inlineStr">
        <is>
          <t>Não</t>
        </is>
      </c>
      <c r="O28" s="7" t="n"/>
      <c r="P28" s="7" t="n"/>
      <c r="Q28" s="7" t="inlineStr">
        <is>
          <t>Não se aplica</t>
        </is>
      </c>
      <c r="R28" s="7" t="inlineStr">
        <is>
          <t>Comparação única para esta dupla de composições.</t>
        </is>
      </c>
      <c r="S28" s="7" t="n"/>
    </row>
    <row r="29">
      <c r="A29" s="7" t="inlineStr">
        <is>
          <t>C028</t>
        </is>
      </c>
      <c r="B29" s="7" t="inlineStr">
        <is>
          <t>P9</t>
        </is>
      </c>
      <c r="C29" s="7" t="inlineStr">
        <is>
          <t>GA calibrado × equipe histórica</t>
        </is>
      </c>
      <c r="D29" s="7" t="inlineStr">
        <is>
          <t>T-1384</t>
        </is>
      </c>
      <c r="E29" s="7" t="inlineStr">
        <is>
          <t>GA calibrado</t>
        </is>
      </c>
      <c r="F29" s="7" t="inlineStr">
        <is>
          <t>94, 290, 382, 484, 560, 647</t>
        </is>
      </c>
      <c r="G29" s="7" t="inlineStr">
        <is>
          <t>T-6406</t>
        </is>
      </c>
      <c r="H29" s="7" t="inlineStr">
        <is>
          <t>Equipe histórica</t>
        </is>
      </c>
      <c r="I29" s="7" t="inlineStr">
        <is>
          <t>222, 449, 473, 492, 742, 751</t>
        </is>
      </c>
      <c r="J29" s="7" t="inlineStr">
        <is>
          <t>B</t>
        </is>
      </c>
      <c r="K29" s="7" t="inlineStr">
        <is>
          <t>T-6406</t>
        </is>
      </c>
      <c r="L29" s="7" t="inlineStr">
        <is>
          <t>Equipe histórica</t>
        </is>
      </c>
      <c r="M29" s="7" t="inlineStr">
        <is>
          <t>Não</t>
        </is>
      </c>
      <c r="N29" s="7" t="inlineStr">
        <is>
          <t>Não</t>
        </is>
      </c>
      <c r="O29" s="7" t="n"/>
      <c r="P29" s="7" t="n"/>
      <c r="Q29" s="7" t="inlineStr">
        <is>
          <t>Não se aplica</t>
        </is>
      </c>
      <c r="R29" s="7" t="inlineStr">
        <is>
          <t>Comparação única para esta dupla de composições.</t>
        </is>
      </c>
      <c r="S29" s="7" t="n"/>
    </row>
    <row r="30">
      <c r="A30" s="7" t="inlineStr">
        <is>
          <t>C029</t>
        </is>
      </c>
      <c r="B30" s="7" t="inlineStr">
        <is>
          <t>P10</t>
        </is>
      </c>
      <c r="C30" s="7" t="inlineStr">
        <is>
          <t>GA calibrado × LLM</t>
        </is>
      </c>
      <c r="D30" s="7" t="inlineStr">
        <is>
          <t>T-9672</t>
        </is>
      </c>
      <c r="E30" s="7" t="inlineStr">
        <is>
          <t>LLM</t>
        </is>
      </c>
      <c r="F30" s="7" t="inlineStr">
        <is>
          <t>27, 94, 183, 290, 354, 382, 402, 615</t>
        </is>
      </c>
      <c r="G30" s="7" t="inlineStr">
        <is>
          <t>T-5887</t>
        </is>
      </c>
      <c r="H30" s="7" t="inlineStr">
        <is>
          <t>GA calibrado</t>
        </is>
      </c>
      <c r="I30" s="7" t="inlineStr">
        <is>
          <t>27, 94, 257, 382, 477, 492, 496, 615</t>
        </is>
      </c>
      <c r="J30" s="7" t="inlineStr">
        <is>
          <t>A</t>
        </is>
      </c>
      <c r="K30" s="7" t="inlineStr">
        <is>
          <t>T-9672</t>
        </is>
      </c>
      <c r="L30" s="7" t="inlineStr">
        <is>
          <t>LLM</t>
        </is>
      </c>
      <c r="M30" s="7" t="inlineStr">
        <is>
          <t>Não</t>
        </is>
      </c>
      <c r="N30" s="7" t="inlineStr">
        <is>
          <t>Não</t>
        </is>
      </c>
      <c r="O30" s="7" t="n"/>
      <c r="P30" s="7" t="inlineStr">
        <is>
          <t>R01</t>
        </is>
      </c>
      <c r="Q30" s="7" t="inlineStr">
        <is>
          <t>Consistente</t>
        </is>
      </c>
      <c r="R30" s="7" t="inlineStr">
        <is>
          <t>A mesma dupla de composições foi avaliada mais de uma vez; a decisão normalizada pelo conjunto de integrantes foi mantida.</t>
        </is>
      </c>
      <c r="S30" s="7" t="n"/>
    </row>
    <row r="31">
      <c r="A31" s="7" t="inlineStr">
        <is>
          <t>C030</t>
        </is>
      </c>
      <c r="B31" s="7" t="inlineStr">
        <is>
          <t>P11</t>
        </is>
      </c>
      <c r="C31" s="7" t="inlineStr">
        <is>
          <t>GA calibrado × LLM</t>
        </is>
      </c>
      <c r="D31" s="7" t="inlineStr">
        <is>
          <t>T-2948</t>
        </is>
      </c>
      <c r="E31" s="7" t="inlineStr">
        <is>
          <t>LLM</t>
        </is>
      </c>
      <c r="F31" s="7" t="inlineStr">
        <is>
          <t>241, 391, 536, 537, 648, 712, 716, 743, 752</t>
        </is>
      </c>
      <c r="G31" s="7" t="inlineStr">
        <is>
          <t>T-2548</t>
        </is>
      </c>
      <c r="H31" s="7" t="inlineStr">
        <is>
          <t>GA calibrado</t>
        </is>
      </c>
      <c r="I31" s="7" t="inlineStr">
        <is>
          <t>282, 317, 336, 415, 437, 458, 467, 498, 583</t>
        </is>
      </c>
      <c r="J31" s="7" t="inlineStr">
        <is>
          <t>A</t>
        </is>
      </c>
      <c r="K31" s="7" t="inlineStr">
        <is>
          <t>T-2948</t>
        </is>
      </c>
      <c r="L31" s="7" t="inlineStr">
        <is>
          <t>LLM</t>
        </is>
      </c>
      <c r="M31" s="7" t="inlineStr">
        <is>
          <t>Não</t>
        </is>
      </c>
      <c r="N31" s="7" t="inlineStr">
        <is>
          <t>Não</t>
        </is>
      </c>
      <c r="O31" s="7" t="n"/>
      <c r="P31" s="7" t="n"/>
      <c r="Q31" s="7" t="inlineStr">
        <is>
          <t>Não se aplica</t>
        </is>
      </c>
      <c r="R31" s="7" t="inlineStr">
        <is>
          <t>Comparação única para esta dupla de composições.</t>
        </is>
      </c>
      <c r="S31" s="7" t="n"/>
    </row>
    <row r="32">
      <c r="A32" s="7" t="inlineStr">
        <is>
          <t>C031</t>
        </is>
      </c>
      <c r="B32" s="7" t="inlineStr">
        <is>
          <t>P7</t>
        </is>
      </c>
      <c r="C32" s="7" t="inlineStr">
        <is>
          <t>GA calibrado × equipe histórica</t>
        </is>
      </c>
      <c r="D32" s="7" t="inlineStr">
        <is>
          <t>T-1102</t>
        </is>
      </c>
      <c r="E32" s="7" t="inlineStr">
        <is>
          <t>Equipe histórica</t>
        </is>
      </c>
      <c r="F32" s="7" t="inlineStr">
        <is>
          <t>46, 326, 354, 525, 754</t>
        </is>
      </c>
      <c r="G32" s="7" t="inlineStr">
        <is>
          <t>T-8765</t>
        </is>
      </c>
      <c r="H32" s="7" t="inlineStr">
        <is>
          <t>GA calibrado</t>
        </is>
      </c>
      <c r="I32" s="7" t="inlineStr">
        <is>
          <t>81, 282, 336, 370, 415</t>
        </is>
      </c>
      <c r="J32" s="7" t="inlineStr">
        <is>
          <t>A</t>
        </is>
      </c>
      <c r="K32" s="7" t="inlineStr">
        <is>
          <t>T-1102</t>
        </is>
      </c>
      <c r="L32" s="7" t="inlineStr">
        <is>
          <t>Equipe histórica</t>
        </is>
      </c>
      <c r="M32" s="7" t="inlineStr">
        <is>
          <t>Não</t>
        </is>
      </c>
      <c r="N32" s="7" t="inlineStr">
        <is>
          <t>Não</t>
        </is>
      </c>
      <c r="O32" s="7" t="n"/>
      <c r="P32" s="7" t="n"/>
      <c r="Q32" s="7" t="inlineStr">
        <is>
          <t>Não se aplica</t>
        </is>
      </c>
      <c r="R32" s="7" t="inlineStr">
        <is>
          <t>Comparação única para esta dupla de composições.</t>
        </is>
      </c>
      <c r="S32" s="7" t="n"/>
    </row>
    <row r="33">
      <c r="A33" s="7" t="inlineStr">
        <is>
          <t>C032</t>
        </is>
      </c>
      <c r="B33" s="7" t="inlineStr">
        <is>
          <t>P5</t>
        </is>
      </c>
      <c r="C33" s="7" t="inlineStr">
        <is>
          <t>GA calibrado × GA uniforme</t>
        </is>
      </c>
      <c r="D33" s="7" t="inlineStr">
        <is>
          <t>T-8053</t>
        </is>
      </c>
      <c r="E33" s="7" t="inlineStr">
        <is>
          <t>GA uniforme</t>
        </is>
      </c>
      <c r="F33" s="7" t="inlineStr">
        <is>
          <t>336, 370, 398, 415</t>
        </is>
      </c>
      <c r="G33" s="7" t="inlineStr">
        <is>
          <t>T-2822</t>
        </is>
      </c>
      <c r="H33" s="7" t="inlineStr">
        <is>
          <t>GA calibrado</t>
        </is>
      </c>
      <c r="I33" s="7" t="inlineStr">
        <is>
          <t>316, 398, 415, 467</t>
        </is>
      </c>
      <c r="J33" s="7" t="inlineStr">
        <is>
          <t>Equivalente</t>
        </is>
      </c>
      <c r="K33" s="7" t="n"/>
      <c r="L33" s="7" t="inlineStr">
        <is>
          <t>Equivalente</t>
        </is>
      </c>
      <c r="M33" s="7" t="inlineStr">
        <is>
          <t>Empate</t>
        </is>
      </c>
      <c r="N33" s="7" t="inlineStr">
        <is>
          <t>Não</t>
        </is>
      </c>
      <c r="O33" s="7" t="n"/>
      <c r="P33" s="7" t="inlineStr">
        <is>
          <t>R10</t>
        </is>
      </c>
      <c r="Q33" s="7" t="inlineStr">
        <is>
          <t>Consistente</t>
        </is>
      </c>
      <c r="R33" s="7" t="inlineStr">
        <is>
          <t>A mesma dupla de composições foi avaliada mais de uma vez; a decisão normalizada pelo conjunto de integrantes foi mantida.</t>
        </is>
      </c>
      <c r="S33" s="7" t="n"/>
    </row>
    <row r="34">
      <c r="A34" s="7" t="inlineStr">
        <is>
          <t>C033</t>
        </is>
      </c>
      <c r="B34" s="7" t="inlineStr">
        <is>
          <t>P13</t>
        </is>
      </c>
      <c r="C34" s="7" t="inlineStr">
        <is>
          <t>GA calibrado × equipe histórica</t>
        </is>
      </c>
      <c r="D34" s="7" t="inlineStr">
        <is>
          <t>T-1559</t>
        </is>
      </c>
      <c r="E34" s="7" t="inlineStr">
        <is>
          <t>GA calibrado</t>
        </is>
      </c>
      <c r="F34" s="7" t="inlineStr">
        <is>
          <t>498, 583, 589, 720</t>
        </is>
      </c>
      <c r="G34" s="7" t="inlineStr">
        <is>
          <t>T-1300</t>
        </is>
      </c>
      <c r="H34" s="7" t="inlineStr">
        <is>
          <t>Equipe histórica</t>
        </is>
      </c>
      <c r="I34" s="7" t="inlineStr">
        <is>
          <t>583, 700, 705, 720</t>
        </is>
      </c>
      <c r="J34" s="7" t="inlineStr">
        <is>
          <t>B</t>
        </is>
      </c>
      <c r="K34" s="7" t="inlineStr">
        <is>
          <t>T-1300</t>
        </is>
      </c>
      <c r="L34" s="7" t="inlineStr">
        <is>
          <t>Equipe histórica</t>
        </is>
      </c>
      <c r="M34" s="7" t="inlineStr">
        <is>
          <t>Não</t>
        </is>
      </c>
      <c r="N34" s="7" t="inlineStr">
        <is>
          <t>Não</t>
        </is>
      </c>
      <c r="O34" s="7" t="n"/>
      <c r="P34" s="7" t="n"/>
      <c r="Q34" s="7" t="inlineStr">
        <is>
          <t>Não se aplica</t>
        </is>
      </c>
      <c r="R34" s="7" t="inlineStr">
        <is>
          <t>Comparação única para esta dupla de composições.</t>
        </is>
      </c>
      <c r="S34" s="7" t="n"/>
    </row>
    <row r="35">
      <c r="A35" s="7" t="inlineStr">
        <is>
          <t>C034</t>
        </is>
      </c>
      <c r="B35" s="7" t="inlineStr">
        <is>
          <t>P9</t>
        </is>
      </c>
      <c r="C35" s="7" t="inlineStr">
        <is>
          <t>GA calibrado × GA uniforme</t>
        </is>
      </c>
      <c r="D35" s="7" t="inlineStr">
        <is>
          <t>T-8573</t>
        </is>
      </c>
      <c r="E35" s="7" t="inlineStr">
        <is>
          <t>GA uniforme</t>
        </is>
      </c>
      <c r="F35" s="7" t="inlineStr">
        <is>
          <t>282, 335, 336, 398, 415, 467</t>
        </is>
      </c>
      <c r="G35" s="7" t="inlineStr">
        <is>
          <t>T-1384</t>
        </is>
      </c>
      <c r="H35" s="7" t="inlineStr">
        <is>
          <t>GA calibrado</t>
        </is>
      </c>
      <c r="I35" s="7" t="inlineStr">
        <is>
          <t>94, 290, 382, 484, 560, 647</t>
        </is>
      </c>
      <c r="J35" s="7" t="inlineStr">
        <is>
          <t>A</t>
        </is>
      </c>
      <c r="K35" s="7" t="inlineStr">
        <is>
          <t>T-8573</t>
        </is>
      </c>
      <c r="L35" s="7" t="inlineStr">
        <is>
          <t>GA uniforme</t>
        </is>
      </c>
      <c r="M35" s="7" t="inlineStr">
        <is>
          <t>Não</t>
        </is>
      </c>
      <c r="N35" s="7" t="inlineStr">
        <is>
          <t>Não</t>
        </is>
      </c>
      <c r="O35" s="7" t="n"/>
      <c r="P35" s="7" t="inlineStr">
        <is>
          <t>R06</t>
        </is>
      </c>
      <c r="Q35" s="7" t="inlineStr">
        <is>
          <t>Inconsistente</t>
        </is>
      </c>
      <c r="R35" s="7" t="inlineStr">
        <is>
          <t>A mesma dupla de composições foi avaliada mais de uma vez, mas a composição escolhida mudou.</t>
        </is>
      </c>
      <c r="S35" s="7" t="n"/>
    </row>
    <row r="36">
      <c r="A36" s="7" t="inlineStr">
        <is>
          <t>C035</t>
        </is>
      </c>
      <c r="B36" s="7" t="inlineStr">
        <is>
          <t>P6</t>
        </is>
      </c>
      <c r="C36" s="7" t="inlineStr">
        <is>
          <t>GA calibrado × LLM</t>
        </is>
      </c>
      <c r="D36" s="7" t="inlineStr">
        <is>
          <t>T-4412</t>
        </is>
      </c>
      <c r="E36" s="7" t="inlineStr">
        <is>
          <t>GA calibrado</t>
        </is>
      </c>
      <c r="F36" s="7" t="inlineStr">
        <is>
          <t>94, 183, 290, 363, 382, 402, 484</t>
        </is>
      </c>
      <c r="G36" s="7" t="inlineStr">
        <is>
          <t>T-4484</t>
        </is>
      </c>
      <c r="H36" s="7" t="inlineStr">
        <is>
          <t>LLM</t>
        </is>
      </c>
      <c r="I36" s="7" t="inlineStr">
        <is>
          <t>114, 311, 453, 483, 490, 494, 637</t>
        </is>
      </c>
      <c r="J36" s="7" t="inlineStr">
        <is>
          <t>B</t>
        </is>
      </c>
      <c r="K36" s="7" t="inlineStr">
        <is>
          <t>T-4484</t>
        </is>
      </c>
      <c r="L36" s="7" t="inlineStr">
        <is>
          <t>LLM</t>
        </is>
      </c>
      <c r="M36" s="7" t="inlineStr">
        <is>
          <t>Não</t>
        </is>
      </c>
      <c r="N36" s="7" t="inlineStr">
        <is>
          <t>Sim</t>
        </is>
      </c>
      <c r="O36" s="7" t="inlineStr">
        <is>
          <t>C024</t>
        </is>
      </c>
      <c r="P36" s="7" t="inlineStr">
        <is>
          <t>R09</t>
        </is>
      </c>
      <c r="Q36" s="7" t="inlineStr">
        <is>
          <t>Consistente</t>
        </is>
      </c>
      <c r="R36" s="7" t="inlineStr">
        <is>
          <t>A mesma dupla de composições foi avaliada mais de uma vez; a decisão normalizada pelo conjunto de integrantes foi mantida.</t>
        </is>
      </c>
      <c r="S36" s="7" t="n"/>
    </row>
    <row r="37">
      <c r="A37" s="7" t="inlineStr">
        <is>
          <t>C036</t>
        </is>
      </c>
      <c r="B37" s="7" t="inlineStr">
        <is>
          <t>P14</t>
        </is>
      </c>
      <c r="C37" s="7" t="inlineStr">
        <is>
          <t>GA calibrado × LLM</t>
        </is>
      </c>
      <c r="D37" s="7" t="inlineStr">
        <is>
          <t>T-2098</t>
        </is>
      </c>
      <c r="E37" s="7" t="inlineStr">
        <is>
          <t>GA calibrado</t>
        </is>
      </c>
      <c r="F37" s="7" t="inlineStr">
        <is>
          <t>220, 357, 359, 503</t>
        </is>
      </c>
      <c r="G37" s="7" t="inlineStr">
        <is>
          <t>T-6570</t>
        </is>
      </c>
      <c r="H37" s="7" t="inlineStr">
        <is>
          <t>LLM</t>
        </is>
      </c>
      <c r="I37" s="7" t="inlineStr">
        <is>
          <t>250, 468, 637, 744</t>
        </is>
      </c>
      <c r="J37" s="7" t="inlineStr">
        <is>
          <t>Equivalente</t>
        </is>
      </c>
      <c r="K37" s="7" t="n"/>
      <c r="L37" s="7" t="inlineStr">
        <is>
          <t>Equivalente</t>
        </is>
      </c>
      <c r="M37" s="7" t="inlineStr">
        <is>
          <t>Empate</t>
        </is>
      </c>
      <c r="N37" s="7" t="inlineStr">
        <is>
          <t>Não</t>
        </is>
      </c>
      <c r="O37" s="7" t="n"/>
      <c r="P37" s="7" t="n"/>
      <c r="Q37" s="7" t="inlineStr">
        <is>
          <t>Não se aplica</t>
        </is>
      </c>
      <c r="R37" s="7" t="inlineStr">
        <is>
          <t>Comparação única para esta dupla de composições.</t>
        </is>
      </c>
      <c r="S37" s="7" t="n"/>
    </row>
    <row r="38">
      <c r="A38" s="7" t="inlineStr">
        <is>
          <t>C037</t>
        </is>
      </c>
      <c r="B38" s="7" t="inlineStr">
        <is>
          <t>P7</t>
        </is>
      </c>
      <c r="C38" s="7" t="inlineStr">
        <is>
          <t>GA calibrado × GA uniforme</t>
        </is>
      </c>
      <c r="D38" s="7" t="inlineStr">
        <is>
          <t>T-4479</t>
        </is>
      </c>
      <c r="E38" s="7" t="inlineStr">
        <is>
          <t>GA uniforme</t>
        </is>
      </c>
      <c r="F38" s="7" t="inlineStr">
        <is>
          <t>27, 257, 477, 496, 615</t>
        </is>
      </c>
      <c r="G38" s="7" t="inlineStr">
        <is>
          <t>T-8765</t>
        </is>
      </c>
      <c r="H38" s="7" t="inlineStr">
        <is>
          <t>GA calibrado</t>
        </is>
      </c>
      <c r="I38" s="7" t="inlineStr">
        <is>
          <t>81, 282, 336, 370, 415</t>
        </is>
      </c>
      <c r="J38" s="7" t="inlineStr">
        <is>
          <t>A</t>
        </is>
      </c>
      <c r="K38" s="7" t="inlineStr">
        <is>
          <t>T-4479</t>
        </is>
      </c>
      <c r="L38" s="7" t="inlineStr">
        <is>
          <t>GA uniforme</t>
        </is>
      </c>
      <c r="M38" s="7" t="inlineStr">
        <is>
          <t>Não</t>
        </is>
      </c>
      <c r="N38" s="7" t="inlineStr">
        <is>
          <t>Não</t>
        </is>
      </c>
      <c r="O38" s="7" t="n"/>
      <c r="P38" s="7" t="n"/>
      <c r="Q38" s="7" t="inlineStr">
        <is>
          <t>Não se aplica</t>
        </is>
      </c>
      <c r="R38" s="7" t="inlineStr">
        <is>
          <t>Comparação única para esta dupla de composições.</t>
        </is>
      </c>
      <c r="S38" s="7" t="n"/>
    </row>
    <row r="39">
      <c r="A39" s="7" t="inlineStr">
        <is>
          <t>C038</t>
        </is>
      </c>
      <c r="B39" s="7" t="inlineStr">
        <is>
          <t>P8</t>
        </is>
      </c>
      <c r="C39" s="7" t="inlineStr">
        <is>
          <t>GA calibrado × equipe histórica</t>
        </is>
      </c>
      <c r="D39" s="7" t="inlineStr">
        <is>
          <t>T-4732</t>
        </is>
      </c>
      <c r="E39" s="7" t="inlineStr">
        <is>
          <t>Equipe histórica</t>
        </is>
      </c>
      <c r="F39" s="7" t="inlineStr">
        <is>
          <t>8, 225, 520, 656, 688</t>
        </is>
      </c>
      <c r="G39" s="7" t="inlineStr">
        <is>
          <t>T-1457</t>
        </is>
      </c>
      <c r="H39" s="7" t="inlineStr">
        <is>
          <t>GA calibrado</t>
        </is>
      </c>
      <c r="I39" s="7" t="inlineStr">
        <is>
          <t>81, 336, 370, 398, 415</t>
        </is>
      </c>
      <c r="J39" s="7" t="inlineStr">
        <is>
          <t>B</t>
        </is>
      </c>
      <c r="K39" s="7" t="inlineStr">
        <is>
          <t>T-1457</t>
        </is>
      </c>
      <c r="L39" s="7" t="inlineStr">
        <is>
          <t>GA calibrado</t>
        </is>
      </c>
      <c r="M39" s="7" t="inlineStr">
        <is>
          <t>Sim</t>
        </is>
      </c>
      <c r="N39" s="7" t="inlineStr">
        <is>
          <t>Não</t>
        </is>
      </c>
      <c r="O39" s="7" t="n"/>
      <c r="P39" s="7" t="n"/>
      <c r="Q39" s="7" t="inlineStr">
        <is>
          <t>Não se aplica</t>
        </is>
      </c>
      <c r="R39" s="7" t="inlineStr">
        <is>
          <t>Comparação única para esta dupla de composições.</t>
        </is>
      </c>
      <c r="S39" s="7" t="n"/>
    </row>
    <row r="40">
      <c r="A40" s="7" t="inlineStr">
        <is>
          <t>C039</t>
        </is>
      </c>
      <c r="B40" s="7" t="inlineStr">
        <is>
          <t>P5</t>
        </is>
      </c>
      <c r="C40" s="7" t="inlineStr">
        <is>
          <t>GA calibrado × GA uniforme</t>
        </is>
      </c>
      <c r="D40" s="7" t="inlineStr">
        <is>
          <t>T-2822</t>
        </is>
      </c>
      <c r="E40" s="7" t="inlineStr">
        <is>
          <t>GA calibrado</t>
        </is>
      </c>
      <c r="F40" s="7" t="inlineStr">
        <is>
          <t>316, 398, 415, 467</t>
        </is>
      </c>
      <c r="G40" s="7" t="inlineStr">
        <is>
          <t>T-8053</t>
        </is>
      </c>
      <c r="H40" s="7" t="inlineStr">
        <is>
          <t>GA uniforme</t>
        </is>
      </c>
      <c r="I40" s="7" t="inlineStr">
        <is>
          <t>336, 370, 398, 415</t>
        </is>
      </c>
      <c r="J40" s="7" t="inlineStr">
        <is>
          <t>Equivalente</t>
        </is>
      </c>
      <c r="K40" s="7" t="n"/>
      <c r="L40" s="7" t="inlineStr">
        <is>
          <t>Equivalente</t>
        </is>
      </c>
      <c r="M40" s="7" t="inlineStr">
        <is>
          <t>Empate</t>
        </is>
      </c>
      <c r="N40" s="7" t="inlineStr">
        <is>
          <t>Sim</t>
        </is>
      </c>
      <c r="O40" s="7" t="inlineStr">
        <is>
          <t>C032</t>
        </is>
      </c>
      <c r="P40" s="7" t="inlineStr">
        <is>
          <t>R10</t>
        </is>
      </c>
      <c r="Q40" s="7" t="inlineStr">
        <is>
          <t>Consistente</t>
        </is>
      </c>
      <c r="R40" s="7" t="inlineStr">
        <is>
          <t>A mesma dupla de composições foi avaliada mais de uma vez; a decisão normalizada pelo conjunto de integrantes foi mantida.</t>
        </is>
      </c>
      <c r="S40" s="7" t="n"/>
    </row>
    <row r="41">
      <c r="A41" s="7" t="inlineStr">
        <is>
          <t>C040</t>
        </is>
      </c>
      <c r="B41" s="7" t="inlineStr">
        <is>
          <t>P2</t>
        </is>
      </c>
      <c r="C41" s="7" t="inlineStr">
        <is>
          <t>GA calibrado × LLM</t>
        </is>
      </c>
      <c r="D41" s="7" t="inlineStr">
        <is>
          <t>T-4526</t>
        </is>
      </c>
      <c r="E41" s="7" t="inlineStr">
        <is>
          <t>GA calibrado</t>
        </is>
      </c>
      <c r="F41" s="7" t="inlineStr">
        <is>
          <t>7, 33, 94, 290, 397, 447, 484, 560</t>
        </is>
      </c>
      <c r="G41" s="7" t="inlineStr">
        <is>
          <t>T-5996</t>
        </is>
      </c>
      <c r="H41" s="7" t="inlineStr">
        <is>
          <t>LLM</t>
        </is>
      </c>
      <c r="I41" s="7" t="inlineStr">
        <is>
          <t>169, 177, 222, 457, 479, 545, 550, 676</t>
        </is>
      </c>
      <c r="J41" s="7" t="inlineStr">
        <is>
          <t>B</t>
        </is>
      </c>
      <c r="K41" s="7" t="inlineStr">
        <is>
          <t>T-5996</t>
        </is>
      </c>
      <c r="L41" s="7" t="inlineStr">
        <is>
          <t>LLM</t>
        </is>
      </c>
      <c r="M41" s="7" t="inlineStr">
        <is>
          <t>Não</t>
        </is>
      </c>
      <c r="N41" s="7" t="inlineStr">
        <is>
          <t>Não</t>
        </is>
      </c>
      <c r="O41" s="7" t="n"/>
      <c r="P41" s="7" t="inlineStr">
        <is>
          <t>R07</t>
        </is>
      </c>
      <c r="Q41" s="7" t="inlineStr">
        <is>
          <t>Inconsistente</t>
        </is>
      </c>
      <c r="R41" s="7" t="inlineStr">
        <is>
          <t>A mesma dupla de composições foi avaliada mais de uma vez, mas a composição escolhida mudou.</t>
        </is>
      </c>
      <c r="S41" s="7" t="n"/>
    </row>
    <row r="42">
      <c r="A42" s="7" t="inlineStr">
        <is>
          <t>C041</t>
        </is>
      </c>
      <c r="B42" s="7" t="inlineStr">
        <is>
          <t>P12</t>
        </is>
      </c>
      <c r="C42" s="7" t="inlineStr">
        <is>
          <t>GA calibrado × LLM</t>
        </is>
      </c>
      <c r="D42" s="7" t="inlineStr">
        <is>
          <t>T-8599</t>
        </is>
      </c>
      <c r="E42" s="7" t="inlineStr">
        <is>
          <t>GA calibrado</t>
        </is>
      </c>
      <c r="F42" s="7" t="inlineStr">
        <is>
          <t>398, 415, 458, 467</t>
        </is>
      </c>
      <c r="G42" s="7" t="inlineStr">
        <is>
          <t>T-4278</t>
        </is>
      </c>
      <c r="H42" s="7" t="inlineStr">
        <is>
          <t>LLM</t>
        </is>
      </c>
      <c r="I42" s="7" t="inlineStr">
        <is>
          <t>169, 335, 716, 746</t>
        </is>
      </c>
      <c r="J42" s="7" t="inlineStr">
        <is>
          <t>B</t>
        </is>
      </c>
      <c r="K42" s="7" t="inlineStr">
        <is>
          <t>T-4278</t>
        </is>
      </c>
      <c r="L42" s="7" t="inlineStr">
        <is>
          <t>LLM</t>
        </is>
      </c>
      <c r="M42" s="7" t="inlineStr">
        <is>
          <t>Não</t>
        </is>
      </c>
      <c r="N42" s="7" t="inlineStr">
        <is>
          <t>Não</t>
        </is>
      </c>
      <c r="O42" s="7" t="n"/>
      <c r="P42" s="7" t="n"/>
      <c r="Q42" s="7" t="inlineStr">
        <is>
          <t>Não se aplica</t>
        </is>
      </c>
      <c r="R42" s="7" t="inlineStr">
        <is>
          <t>Comparação única para esta dupla de composições.</t>
        </is>
      </c>
      <c r="S42" s="7" t="n"/>
    </row>
    <row r="43">
      <c r="A43" s="7" t="inlineStr">
        <is>
          <t>C042</t>
        </is>
      </c>
      <c r="B43" s="7" t="inlineStr">
        <is>
          <t>P6</t>
        </is>
      </c>
      <c r="C43" s="7" t="inlineStr">
        <is>
          <t>GA calibrado × equipe histórica</t>
        </is>
      </c>
      <c r="D43" s="7" t="inlineStr">
        <is>
          <t>T-4412</t>
        </is>
      </c>
      <c r="E43" s="7" t="inlineStr">
        <is>
          <t>GA calibrado</t>
        </is>
      </c>
      <c r="F43" s="7" t="inlineStr">
        <is>
          <t>94, 183, 290, 363, 382, 402, 484</t>
        </is>
      </c>
      <c r="G43" s="7" t="inlineStr">
        <is>
          <t>T-8656</t>
        </is>
      </c>
      <c r="H43" s="7" t="inlineStr">
        <is>
          <t>Equipe histórica</t>
        </is>
      </c>
      <c r="I43" s="7" t="inlineStr">
        <is>
          <t>281, 311, 453, 483, 490, 494, 637</t>
        </is>
      </c>
      <c r="J43" s="7" t="inlineStr">
        <is>
          <t>B</t>
        </is>
      </c>
      <c r="K43" s="7" t="inlineStr">
        <is>
          <t>T-8656</t>
        </is>
      </c>
      <c r="L43" s="7" t="inlineStr">
        <is>
          <t>Equipe histórica</t>
        </is>
      </c>
      <c r="M43" s="7" t="inlineStr">
        <is>
          <t>Não</t>
        </is>
      </c>
      <c r="N43" s="7" t="inlineStr">
        <is>
          <t>Não</t>
        </is>
      </c>
      <c r="O43" s="7" t="n"/>
      <c r="P43" s="7" t="n"/>
      <c r="Q43" s="7" t="inlineStr">
        <is>
          <t>Não se aplica</t>
        </is>
      </c>
      <c r="R43" s="7" t="inlineStr">
        <is>
          <t>Comparação única para esta dupla de composições.</t>
        </is>
      </c>
      <c r="S43" s="7" t="n"/>
    </row>
    <row r="44">
      <c r="A44" s="7" t="inlineStr">
        <is>
          <t>C043</t>
        </is>
      </c>
      <c r="B44" s="7" t="inlineStr">
        <is>
          <t>P5</t>
        </is>
      </c>
      <c r="C44" s="7" t="inlineStr">
        <is>
          <t>GA calibrado × equipe histórica</t>
        </is>
      </c>
      <c r="D44" s="7" t="inlineStr">
        <is>
          <t>T-2639</t>
        </is>
      </c>
      <c r="E44" s="7" t="inlineStr">
        <is>
          <t>Equipe histórica</t>
        </is>
      </c>
      <c r="F44" s="7" t="inlineStr">
        <is>
          <t>27, 317, 351, 516</t>
        </is>
      </c>
      <c r="G44" s="7" t="inlineStr">
        <is>
          <t>T-2822</t>
        </is>
      </c>
      <c r="H44" s="7" t="inlineStr">
        <is>
          <t>GA calibrado</t>
        </is>
      </c>
      <c r="I44" s="7" t="inlineStr">
        <is>
          <t>316, 398, 415, 467</t>
        </is>
      </c>
      <c r="J44" s="7" t="inlineStr">
        <is>
          <t>A</t>
        </is>
      </c>
      <c r="K44" s="7" t="inlineStr">
        <is>
          <t>T-2639</t>
        </is>
      </c>
      <c r="L44" s="7" t="inlineStr">
        <is>
          <t>Equipe histórica</t>
        </is>
      </c>
      <c r="M44" s="7" t="inlineStr">
        <is>
          <t>Não</t>
        </is>
      </c>
      <c r="N44" s="7" t="inlineStr">
        <is>
          <t>Não</t>
        </is>
      </c>
      <c r="O44" s="7" t="n"/>
      <c r="P44" s="7" t="inlineStr">
        <is>
          <t>R02</t>
        </is>
      </c>
      <c r="Q44" s="7" t="inlineStr">
        <is>
          <t>Consistente</t>
        </is>
      </c>
      <c r="R44" s="7" t="inlineStr">
        <is>
          <t>A mesma dupla de composições foi avaliada mais de uma vez; a decisão normalizada pelo conjunto de integrantes foi mantida.</t>
        </is>
      </c>
      <c r="S44" s="7" t="n"/>
    </row>
    <row r="45">
      <c r="A45" s="7" t="inlineStr">
        <is>
          <t>C044</t>
        </is>
      </c>
      <c r="B45" s="7" t="inlineStr">
        <is>
          <t>P7</t>
        </is>
      </c>
      <c r="C45" s="7" t="inlineStr">
        <is>
          <t>GA calibrado × LLM</t>
        </is>
      </c>
      <c r="D45" s="7" t="inlineStr">
        <is>
          <t>T-4770</t>
        </is>
      </c>
      <c r="E45" s="7" t="inlineStr">
        <is>
          <t>LLM</t>
        </is>
      </c>
      <c r="F45" s="7" t="inlineStr">
        <is>
          <t>46, 183, 326, 354, 525</t>
        </is>
      </c>
      <c r="G45" s="7" t="inlineStr">
        <is>
          <t>T-8765</t>
        </is>
      </c>
      <c r="H45" s="7" t="inlineStr">
        <is>
          <t>GA calibrado</t>
        </is>
      </c>
      <c r="I45" s="7" t="inlineStr">
        <is>
          <t>81, 282, 336, 370, 415</t>
        </is>
      </c>
      <c r="J45" s="7" t="inlineStr">
        <is>
          <t>A</t>
        </is>
      </c>
      <c r="K45" s="7" t="inlineStr">
        <is>
          <t>T-4770</t>
        </is>
      </c>
      <c r="L45" s="7" t="inlineStr">
        <is>
          <t>LLM</t>
        </is>
      </c>
      <c r="M45" s="7" t="inlineStr">
        <is>
          <t>Não</t>
        </is>
      </c>
      <c r="N45" s="7" t="inlineStr">
        <is>
          <t>Não</t>
        </is>
      </c>
      <c r="O45" s="7" t="n"/>
      <c r="P45" s="7" t="n"/>
      <c r="Q45" s="7" t="inlineStr">
        <is>
          <t>Não se aplica</t>
        </is>
      </c>
      <c r="R45" s="7" t="inlineStr">
        <is>
          <t>Comparação única para esta dupla de composições.</t>
        </is>
      </c>
      <c r="S45" s="7" t="n"/>
    </row>
    <row r="46">
      <c r="A46" s="7" t="inlineStr">
        <is>
          <t>C045</t>
        </is>
      </c>
      <c r="B46" s="7" t="inlineStr">
        <is>
          <t>P1</t>
        </is>
      </c>
      <c r="C46" s="7" t="inlineStr">
        <is>
          <t>GA calibrado × GA uniforme</t>
        </is>
      </c>
      <c r="D46" s="7" t="inlineStr">
        <is>
          <t>T-6473</t>
        </is>
      </c>
      <c r="E46" s="7" t="inlineStr">
        <is>
          <t>GA calibrado</t>
        </is>
      </c>
      <c r="F46" s="7" t="inlineStr">
        <is>
          <t>170, 220, 305, 324, 359, 448, 503, 543, 578</t>
        </is>
      </c>
      <c r="G46" s="7" t="inlineStr">
        <is>
          <t>T-4743</t>
        </is>
      </c>
      <c r="H46" s="7" t="inlineStr">
        <is>
          <t>GA uniforme</t>
        </is>
      </c>
      <c r="I46" s="7" t="inlineStr">
        <is>
          <t>170, 220, 305, 324, 359, 448, 503, 544, 578</t>
        </is>
      </c>
      <c r="J46" s="7" t="inlineStr">
        <is>
          <t>Equivalente</t>
        </is>
      </c>
      <c r="K46" s="7" t="n"/>
      <c r="L46" s="7" t="inlineStr">
        <is>
          <t>Equivalente</t>
        </is>
      </c>
      <c r="M46" s="7" t="inlineStr">
        <is>
          <t>Empate</t>
        </is>
      </c>
      <c r="N46" s="7" t="inlineStr">
        <is>
          <t>Não</t>
        </is>
      </c>
      <c r="O46" s="7" t="n"/>
      <c r="P46" s="7" t="n"/>
      <c r="Q46" s="7" t="inlineStr">
        <is>
          <t>Não se aplica</t>
        </is>
      </c>
      <c r="R46" s="7" t="inlineStr">
        <is>
          <t>Comparação única para esta dupla de composições.</t>
        </is>
      </c>
      <c r="S46" s="7" t="n"/>
    </row>
    <row r="47">
      <c r="A47" s="7" t="inlineStr">
        <is>
          <t>C046</t>
        </is>
      </c>
      <c r="B47" s="7" t="inlineStr">
        <is>
          <t>P16</t>
        </is>
      </c>
      <c r="C47" s="7" t="inlineStr">
        <is>
          <t>GA calibrado × LLM</t>
        </is>
      </c>
      <c r="D47" s="7" t="inlineStr">
        <is>
          <t>T-9373</t>
        </is>
      </c>
      <c r="E47" s="7" t="inlineStr">
        <is>
          <t>GA calibrado</t>
        </is>
      </c>
      <c r="F47" s="7" t="inlineStr">
        <is>
          <t>81, 282, 316, 317, 336, 370, 398, 415, 467</t>
        </is>
      </c>
      <c r="G47" s="7" t="inlineStr">
        <is>
          <t>T-6812</t>
        </is>
      </c>
      <c r="H47" s="7" t="inlineStr">
        <is>
          <t>LLM</t>
        </is>
      </c>
      <c r="I47" s="7" t="inlineStr">
        <is>
          <t>265, 363, 402, 495, 509, 620, 677, 692, 725</t>
        </is>
      </c>
      <c r="J47" s="7" t="inlineStr">
        <is>
          <t>B</t>
        </is>
      </c>
      <c r="K47" s="7" t="inlineStr">
        <is>
          <t>T-6812</t>
        </is>
      </c>
      <c r="L47" s="7" t="inlineStr">
        <is>
          <t>LLM</t>
        </is>
      </c>
      <c r="M47" s="7" t="inlineStr">
        <is>
          <t>Não</t>
        </is>
      </c>
      <c r="N47" s="7" t="inlineStr">
        <is>
          <t>Sim</t>
        </is>
      </c>
      <c r="O47" s="7" t="inlineStr">
        <is>
          <t>C003</t>
        </is>
      </c>
      <c r="P47" s="7" t="inlineStr">
        <is>
          <t>R03</t>
        </is>
      </c>
      <c r="Q47" s="7" t="inlineStr">
        <is>
          <t>Inconsistente</t>
        </is>
      </c>
      <c r="R47" s="7" t="inlineStr">
        <is>
          <t>A mesma dupla de composições foi avaliada mais de uma vez, mas a composição escolhida mudou.</t>
        </is>
      </c>
      <c r="S47" s="7" t="n"/>
    </row>
    <row r="48">
      <c r="A48" s="7" t="inlineStr">
        <is>
          <t>C047</t>
        </is>
      </c>
      <c r="B48" s="7" t="inlineStr">
        <is>
          <t>P11</t>
        </is>
      </c>
      <c r="C48" s="7" t="inlineStr">
        <is>
          <t>GA calibrado × equipe histórica</t>
        </is>
      </c>
      <c r="D48" s="7" t="inlineStr">
        <is>
          <t>T-4785</t>
        </is>
      </c>
      <c r="E48" s="7" t="inlineStr">
        <is>
          <t>Equipe histórica</t>
        </is>
      </c>
      <c r="F48" s="7" t="inlineStr">
        <is>
          <t>180, 241, 536, 537, 648, 712, 716, 743, 752</t>
        </is>
      </c>
      <c r="G48" s="7" t="inlineStr">
        <is>
          <t>T-2548</t>
        </is>
      </c>
      <c r="H48" s="7" t="inlineStr">
        <is>
          <t>GA calibrado</t>
        </is>
      </c>
      <c r="I48" s="7" t="inlineStr">
        <is>
          <t>282, 317, 336, 415, 437, 458, 467, 498, 583</t>
        </is>
      </c>
      <c r="J48" s="7" t="inlineStr">
        <is>
          <t>A</t>
        </is>
      </c>
      <c r="K48" s="7" t="inlineStr">
        <is>
          <t>T-4785</t>
        </is>
      </c>
      <c r="L48" s="7" t="inlineStr">
        <is>
          <t>Equipe histórica</t>
        </is>
      </c>
      <c r="M48" s="7" t="inlineStr">
        <is>
          <t>Não</t>
        </is>
      </c>
      <c r="N48" s="7" t="inlineStr">
        <is>
          <t>Não</t>
        </is>
      </c>
      <c r="O48" s="7" t="n"/>
      <c r="P48" s="7" t="n"/>
      <c r="Q48" s="7" t="inlineStr">
        <is>
          <t>Não se aplica</t>
        </is>
      </c>
      <c r="R48" s="7" t="inlineStr">
        <is>
          <t>Comparação única para esta dupla de composições.</t>
        </is>
      </c>
      <c r="S48" s="7" t="n"/>
    </row>
    <row r="49">
      <c r="A49" s="7" t="inlineStr">
        <is>
          <t>C048</t>
        </is>
      </c>
      <c r="B49" s="7" t="inlineStr">
        <is>
          <t>P12</t>
        </is>
      </c>
      <c r="C49" s="7" t="inlineStr">
        <is>
          <t>GA calibrado × equipe histórica</t>
        </is>
      </c>
      <c r="D49" s="7" t="inlineStr">
        <is>
          <t>T-4709</t>
        </is>
      </c>
      <c r="E49" s="7" t="inlineStr">
        <is>
          <t>Equipe histórica</t>
        </is>
      </c>
      <c r="F49" s="7" t="inlineStr">
        <is>
          <t>335, 705, 716, 746</t>
        </is>
      </c>
      <c r="G49" s="7" t="inlineStr">
        <is>
          <t>T-8599</t>
        </is>
      </c>
      <c r="H49" s="7" t="inlineStr">
        <is>
          <t>GA calibrado</t>
        </is>
      </c>
      <c r="I49" s="7" t="inlineStr">
        <is>
          <t>398, 415, 458, 467</t>
        </is>
      </c>
      <c r="J49" s="7" t="inlineStr">
        <is>
          <t>A</t>
        </is>
      </c>
      <c r="K49" s="7" t="inlineStr">
        <is>
          <t>T-4709</t>
        </is>
      </c>
      <c r="L49" s="7" t="inlineStr">
        <is>
          <t>Equipe histórica</t>
        </is>
      </c>
      <c r="M49" s="7" t="inlineStr">
        <is>
          <t>Não</t>
        </is>
      </c>
      <c r="N49" s="7" t="inlineStr">
        <is>
          <t>Não</t>
        </is>
      </c>
      <c r="O49" s="7" t="n"/>
      <c r="P49" s="7" t="n"/>
      <c r="Q49" s="7" t="inlineStr">
        <is>
          <t>Não se aplica</t>
        </is>
      </c>
      <c r="R49" s="7" t="inlineStr">
        <is>
          <t>Comparação única para esta dupla de composições.</t>
        </is>
      </c>
      <c r="S49" s="7" t="n"/>
    </row>
    <row r="50">
      <c r="A50" s="7" t="inlineStr">
        <is>
          <t>C049</t>
        </is>
      </c>
      <c r="B50" s="7" t="inlineStr">
        <is>
          <t>P11</t>
        </is>
      </c>
      <c r="C50" s="7" t="inlineStr">
        <is>
          <t>GA calibrado × GA uniforme</t>
        </is>
      </c>
      <c r="D50" s="7" t="inlineStr">
        <is>
          <t>T-8779</t>
        </is>
      </c>
      <c r="E50" s="7" t="inlineStr">
        <is>
          <t>GA uniforme</t>
        </is>
      </c>
      <c r="F50" s="7" t="inlineStr">
        <is>
          <t>170, 220, 305, 324, 359, 448, 503, 543, 578</t>
        </is>
      </c>
      <c r="G50" s="7" t="inlineStr">
        <is>
          <t>T-2548</t>
        </is>
      </c>
      <c r="H50" s="7" t="inlineStr">
        <is>
          <t>GA calibrado</t>
        </is>
      </c>
      <c r="I50" s="7" t="inlineStr">
        <is>
          <t>282, 317, 336, 415, 437, 458, 467, 498, 583</t>
        </is>
      </c>
      <c r="J50" s="7" t="inlineStr">
        <is>
          <t>A</t>
        </is>
      </c>
      <c r="K50" s="7" t="inlineStr">
        <is>
          <t>T-8779</t>
        </is>
      </c>
      <c r="L50" s="7" t="inlineStr">
        <is>
          <t>GA uniforme</t>
        </is>
      </c>
      <c r="M50" s="7" t="inlineStr">
        <is>
          <t>Não</t>
        </is>
      </c>
      <c r="N50" s="7" t="inlineStr">
        <is>
          <t>Não</t>
        </is>
      </c>
      <c r="O50" s="7" t="n"/>
      <c r="P50" s="7" t="n"/>
      <c r="Q50" s="7" t="inlineStr">
        <is>
          <t>Não se aplica</t>
        </is>
      </c>
      <c r="R50" s="7" t="inlineStr">
        <is>
          <t>Comparação única para esta dupla de composições.</t>
        </is>
      </c>
      <c r="S50" s="7" t="n"/>
    </row>
    <row r="51">
      <c r="A51" s="7" t="inlineStr">
        <is>
          <t>C050</t>
        </is>
      </c>
      <c r="B51" s="7" t="inlineStr">
        <is>
          <t>P10</t>
        </is>
      </c>
      <c r="C51" s="7" t="inlineStr">
        <is>
          <t>GA calibrado × equipe histórica</t>
        </is>
      </c>
      <c r="D51" s="7" t="inlineStr">
        <is>
          <t>T-5887</t>
        </is>
      </c>
      <c r="E51" s="7" t="inlineStr">
        <is>
          <t>GA calibrado</t>
        </is>
      </c>
      <c r="F51" s="7" t="inlineStr">
        <is>
          <t>27, 94, 257, 382, 477, 492, 496, 615</t>
        </is>
      </c>
      <c r="G51" s="7" t="inlineStr">
        <is>
          <t>T-9473</t>
        </is>
      </c>
      <c r="H51" s="7" t="inlineStr">
        <is>
          <t>Equipe histórica</t>
        </is>
      </c>
      <c r="I51" s="7" t="inlineStr">
        <is>
          <t>27, 94, 183, 290, 354, 382, 402, 615</t>
        </is>
      </c>
      <c r="J51" s="7" t="inlineStr">
        <is>
          <t>B</t>
        </is>
      </c>
      <c r="K51" s="7" t="inlineStr">
        <is>
          <t>T-9473</t>
        </is>
      </c>
      <c r="L51" s="7" t="inlineStr">
        <is>
          <t>Equipe histórica</t>
        </is>
      </c>
      <c r="M51" s="7" t="inlineStr">
        <is>
          <t>Não</t>
        </is>
      </c>
      <c r="N51" s="7" t="inlineStr">
        <is>
          <t>Sim</t>
        </is>
      </c>
      <c r="O51" s="7" t="inlineStr">
        <is>
          <t>C001</t>
        </is>
      </c>
      <c r="P51" s="7" t="inlineStr">
        <is>
          <t>R01</t>
        </is>
      </c>
      <c r="Q51" s="7" t="inlineStr">
        <is>
          <t>Consistente</t>
        </is>
      </c>
      <c r="R51" s="7" t="inlineStr">
        <is>
          <t>A mesma dupla de composições foi avaliada mais de uma vez; a decisão normalizada pelo conjunto de integrantes foi mantida.</t>
        </is>
      </c>
      <c r="S51" s="7" t="n"/>
    </row>
    <row r="52">
      <c r="A52" s="7" t="inlineStr">
        <is>
          <t>C051</t>
        </is>
      </c>
      <c r="B52" s="7" t="inlineStr">
        <is>
          <t>P9</t>
        </is>
      </c>
      <c r="C52" s="7" t="inlineStr">
        <is>
          <t>GA calibrado × LLM</t>
        </is>
      </c>
      <c r="D52" s="7" t="inlineStr">
        <is>
          <t>T-1384</t>
        </is>
      </c>
      <c r="E52" s="7" t="inlineStr">
        <is>
          <t>GA calibrado</t>
        </is>
      </c>
      <c r="F52" s="7" t="inlineStr">
        <is>
          <t>94, 290, 382, 484, 560, 647</t>
        </is>
      </c>
      <c r="G52" s="7" t="inlineStr">
        <is>
          <t>T-4769</t>
        </is>
      </c>
      <c r="H52" s="7" t="inlineStr">
        <is>
          <t>LLM</t>
        </is>
      </c>
      <c r="I52" s="7" t="inlineStr">
        <is>
          <t>114, 222, 449, 473, 492, 742</t>
        </is>
      </c>
      <c r="J52" s="7" t="inlineStr">
        <is>
          <t>B</t>
        </is>
      </c>
      <c r="K52" s="7" t="inlineStr">
        <is>
          <t>T-4769</t>
        </is>
      </c>
      <c r="L52" s="7" t="inlineStr">
        <is>
          <t>LLM</t>
        </is>
      </c>
      <c r="M52" s="7" t="inlineStr">
        <is>
          <t>Não</t>
        </is>
      </c>
      <c r="N52" s="7" t="inlineStr">
        <is>
          <t>Não</t>
        </is>
      </c>
      <c r="O52" s="7" t="n"/>
      <c r="P52" s="7" t="n"/>
      <c r="Q52" s="7" t="inlineStr">
        <is>
          <t>Não se aplica</t>
        </is>
      </c>
      <c r="R52" s="7" t="inlineStr">
        <is>
          <t>Comparação única para esta dupla de composições.</t>
        </is>
      </c>
      <c r="S52" s="7" t="n"/>
    </row>
    <row r="53">
      <c r="A53" s="7" t="inlineStr">
        <is>
          <t>C052</t>
        </is>
      </c>
      <c r="B53" s="7" t="inlineStr">
        <is>
          <t>P16</t>
        </is>
      </c>
      <c r="C53" s="7" t="inlineStr">
        <is>
          <t>GA calibrado × equipe histórica</t>
        </is>
      </c>
      <c r="D53" s="7" t="inlineStr">
        <is>
          <t>T-9373</t>
        </is>
      </c>
      <c r="E53" s="7" t="inlineStr">
        <is>
          <t>GA calibrado</t>
        </is>
      </c>
      <c r="F53" s="7" t="inlineStr">
        <is>
          <t>81, 282, 316, 317, 336, 370, 398, 415, 467</t>
        </is>
      </c>
      <c r="G53" s="7" t="inlineStr">
        <is>
          <t>T-4887</t>
        </is>
      </c>
      <c r="H53" s="7" t="inlineStr">
        <is>
          <t>Equipe histórica</t>
        </is>
      </c>
      <c r="I53" s="7" t="inlineStr">
        <is>
          <t>265, 281, 363, 509, 620, 677, 692, 725, 757</t>
        </is>
      </c>
      <c r="J53" s="7" t="inlineStr">
        <is>
          <t>B</t>
        </is>
      </c>
      <c r="K53" s="7" t="inlineStr">
        <is>
          <t>T-4887</t>
        </is>
      </c>
      <c r="L53" s="7" t="inlineStr">
        <is>
          <t>Equipe histórica</t>
        </is>
      </c>
      <c r="M53" s="7" t="inlineStr">
        <is>
          <t>Não</t>
        </is>
      </c>
      <c r="N53" s="7" t="inlineStr">
        <is>
          <t>Não</t>
        </is>
      </c>
      <c r="O53" s="7" t="n"/>
      <c r="P53" s="7" t="n"/>
      <c r="Q53" s="7" t="inlineStr">
        <is>
          <t>Não se aplica</t>
        </is>
      </c>
      <c r="R53" s="7" t="inlineStr">
        <is>
          <t>Comparação única para esta dupla de composições.</t>
        </is>
      </c>
      <c r="S53" s="7" t="n"/>
    </row>
    <row r="55">
      <c r="A55" s="9" t="inlineStr">
        <is>
          <t>Original source field names, in column order:</t>
        </is>
      </c>
    </row>
    <row r="56">
      <c r="A56" s="9" t="inlineStr">
        <is>
          <t>ID, Projeto, Tipo de comparação, Equipe A, Origem A, Integrantes A (IDs), Equipe B, Origem B, Integrantes B (IDs), Resposta do especialista, Equipe escolhida, Origem escolhida, GA calibrado venceu?, Repetição planejada?, Linha relacionada, Grupo real repetido, Consistência, Observação de consistência, Comentário do especialista</t>
        </is>
      </c>
    </row>
    <row r="57">
      <c r="A57" s="9" t="inlineStr">
        <is>
          <t>Origin was decoded by matching each roster's developer-ID set against the known compositions from the RQ2-RQ4 source files (comparacao_backtest_ga_vs_real_2025.csv, baseline_GA_UNIFORM_2025_resumo.csv, avaliacoes_llm_surrogate.csv). Filtering out "GA calibrado x LLM" rows yields exactly the paper's retained design: 19 historical-comparison rows (16 projects, 3 repeated) and 14 GA_uniform-comparison rows (12 projects, 2 repeated).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34" customWidth="1" min="4" max="4"/>
    <col width="46" customWidth="1" min="5" max="5"/>
    <col width="20" customWidth="1" min="6" max="6"/>
    <col width="40" customWidth="1" min="7" max="7"/>
  </cols>
  <sheetData>
    <row r="1">
      <c r="A1" s="14" t="inlineStr">
        <is>
          <t>One team at a time — no comparison. Same rule: judge on technical fit and prior collaboration only.</t>
        </is>
      </c>
      <c r="B1" s="11" t="n"/>
      <c r="C1" s="11" t="n"/>
      <c r="D1" s="11" t="n"/>
      <c r="E1" s="11" t="n"/>
      <c r="F1" s="11" t="n"/>
      <c r="G1" s="11" t="n"/>
    </row>
    <row r="2">
      <c r="A2" s="8" t="inlineStr">
        <is>
          <t>Row</t>
        </is>
      </c>
      <c r="B2" s="8" t="inlineStr">
        <is>
          <t>Project</t>
        </is>
      </c>
      <c r="C2" s="8" t="inlineStr">
        <is>
          <t>Team</t>
        </is>
      </c>
      <c r="D2" s="8" t="inlineStr">
        <is>
          <t>Roster</t>
        </is>
      </c>
      <c r="E2" s="8" t="inlineStr">
        <is>
          <t>Indicators for This Roster</t>
        </is>
      </c>
      <c r="F2" s="8" t="inlineStr">
        <is>
          <t>Q1. Would You Staff This Team As-Is?</t>
        </is>
      </c>
      <c r="G2" s="8" t="inlineStr">
        <is>
          <t>Q2. If Not As-Is, What Would You Change? (optional)</t>
        </is>
      </c>
    </row>
    <row r="3">
      <c r="A3" s="7" t="inlineStr">
        <is>
          <t>EXAMPLE</t>
        </is>
      </c>
      <c r="B3" s="7" t="inlineStr">
        <is>
          <t>P03</t>
        </is>
      </c>
      <c r="C3" s="7" t="inlineStr">
        <is>
          <t>T-9210</t>
        </is>
      </c>
      <c r="D3" s="7" t="inlineStr">
        <is>
          <t>Dev311, Dev152, Dev486, Dev097</t>
        </is>
      </c>
      <c r="E3" s="7" t="inlineStr">
        <is>
          <t>TECHNICAL   MUST 3/4 — missing: IoT (domain)
            SHOULD 1/3 · COULD 1/3
DEPTH       0 of 4 MUST items covered by 2+ members
COLLAB      4/6 pairs have worked together (66%)
            mean 1.0 shared projects per pair; 1.5 among those with history
            strongest pair 3 · most recent 2020</t>
        </is>
      </c>
      <c r="F3" s="7" t="inlineStr">
        <is>
          <t>Yes, with minor changes</t>
        </is>
      </c>
      <c r="G3" s="7" t="inlineStr">
        <is>
          <t>Would swap one member for someone with deeper Vue experience.</t>
        </is>
      </c>
    </row>
    <row r="4">
      <c r="A4" s="7" t="inlineStr">
        <is>
          <t>A001</t>
        </is>
      </c>
      <c r="B4" s="7" t="inlineStr">
        <is>
          <t>P5</t>
        </is>
      </c>
      <c r="C4" s="7" t="inlineStr">
        <is>
          <t>T-2822</t>
        </is>
      </c>
      <c r="D4" s="7" t="inlineStr">
        <is>
          <t>Nilo-467
Lara-415
Ravi-398
Mel-316</t>
        </is>
      </c>
      <c r="E4" s="7" t="inlineStr">
        <is>
          <t>TECHNICAL COVERAGE
MUST       1/1   ✓ COMPLETE
SHOULD   5/8   ⚠ 3 MISSING
COULD     21/34   ⚠ 13 MISSING
MANDATORY REQUIREMENTS
✓ Web — 2 member(s)
REDUNDANCY
✓ 1/1 MUST covered by 2+ members
REGISTERED COLLABORATION
Pairs with history: 6/6 (100%)
██████████
Shared projects: 33 total
Mean among pairs with history: 5.5
Strongest-history pair: 8 project(s)</t>
        </is>
      </c>
      <c r="F4" s="7" t="inlineStr">
        <is>
          <t>Yes</t>
        </is>
      </c>
      <c r="G4" s="7" t="inlineStr"/>
    </row>
    <row r="5">
      <c r="A5" s="7" t="inlineStr">
        <is>
          <t>A002</t>
        </is>
      </c>
      <c r="B5" s="7" t="inlineStr">
        <is>
          <t>P6</t>
        </is>
      </c>
      <c r="C5" s="7" t="inlineStr">
        <is>
          <t>T-4412</t>
        </is>
      </c>
      <c r="D5" s="7" t="inlineStr">
        <is>
          <t>Mia-382
Gabi-94
Nilo-402
Tom-183
Davi-290
Ceci-363
Gabi-484</t>
        </is>
      </c>
      <c r="E5" s="7" t="inlineStr">
        <is>
          <t>TECHNICAL COVERAGE
MUST       2/2   ✓ COMPLETE
SHOULD   16/19   ⚠ 3 MISSING
COULD     24/43   ⚠ 19 MISSING
MANDATORY REQUIREMENTS
✓ Android — 7 member(s)
✓ iOS — 4 member(s)
REDUNDANCY
✓ 2/2 MUST covered by 2+ members
REGISTERED COLLABORATION
Pairs with history: 21/21 (100%)
██████████
Shared projects: 79 total
Mean among pairs with history: 3.8
Strongest-history pair: 6 project(s)</t>
        </is>
      </c>
      <c r="F5" s="7" t="inlineStr">
        <is>
          <t>Yes</t>
        </is>
      </c>
      <c r="G5" s="7" t="inlineStr"/>
    </row>
    <row r="6">
      <c r="A6" s="7" t="inlineStr">
        <is>
          <t>A003</t>
        </is>
      </c>
      <c r="B6" s="7" t="inlineStr">
        <is>
          <t>P12</t>
        </is>
      </c>
      <c r="C6" s="7" t="inlineStr">
        <is>
          <t>T-8599</t>
        </is>
      </c>
      <c r="D6" s="7" t="inlineStr">
        <is>
          <t>Ravi-398
Lara-415
Nilo-467
Bia-458</t>
        </is>
      </c>
      <c r="E6" s="7" t="inlineStr">
        <is>
          <t>TECHNICAL COVERAGE
MUST       — NOT DEFINED
SHOULD   6/9   ⚠ 3 MISSING
COULD     21/28   ⚠ 7 MISSING
MANDATORY REQUIREMENTS
No MUST requirement defined.
REDUNDANCY
Not applicable
REGISTERED COLLABORATION
Pairs with history: 6/6 (100%)
██████████
Shared projects: 23 total
Mean among pairs with history: 3.8
Strongest-history pair: 6 project(s)</t>
        </is>
      </c>
      <c r="F6" s="7" t="inlineStr">
        <is>
          <t>No</t>
        </is>
      </c>
      <c r="G6" s="7" t="inlineStr">
        <is>
          <t>Trocaria dois membros da equipe com mais aderencia tecnica</t>
        </is>
      </c>
    </row>
    <row r="7">
      <c r="A7" s="7" t="inlineStr">
        <is>
          <t>A004</t>
        </is>
      </c>
      <c r="B7" s="7" t="inlineStr">
        <is>
          <t>P1</t>
        </is>
      </c>
      <c r="C7" s="7" t="inlineStr">
        <is>
          <t>T-6473</t>
        </is>
      </c>
      <c r="D7" s="7" t="inlineStr">
        <is>
          <t>Luiz-324
Rosa-359
Ana-448
Jade-305
Gael-170
Hugo-543
Eli-503
Ana-578
Lara-220</t>
        </is>
      </c>
      <c r="E7" s="7" t="inlineStr">
        <is>
          <t>TECHNICAL COVERAGE
MUST       2/2   ✓ COMPLETE
SHOULD   13/13   ✓ COMPLETE
COULD     38/65   ⚠ 27 MISSING
MANDATORY REQUIREMENTS
✓ Mobile — 8 member(s)
✓ Web — 9 member(s)
REDUNDANCY
✓ 2/2 MUST covered by 2+ members
REGISTERED COLLABORATION
Pairs with history: 36/36 (100%)
██████████
Shared projects: 160 total
Mean among pairs with history: 4.4
Strongest-history pair: 11 project(s)</t>
        </is>
      </c>
      <c r="F7" s="7" t="inlineStr">
        <is>
          <t>Yes</t>
        </is>
      </c>
      <c r="G7" s="7" t="inlineStr"/>
    </row>
    <row r="8">
      <c r="A8" s="7" t="inlineStr">
        <is>
          <t>A005</t>
        </is>
      </c>
      <c r="B8" s="7" t="inlineStr">
        <is>
          <t>P3</t>
        </is>
      </c>
      <c r="C8" s="7" t="inlineStr">
        <is>
          <t>T-6676</t>
        </is>
      </c>
      <c r="D8" s="7" t="inlineStr">
        <is>
          <t>Lara-415
Jade-370
Enzo-282
Leo-336
Iris-211</t>
        </is>
      </c>
      <c r="E8" s="7" t="inlineStr">
        <is>
          <t>TECHNICAL COVERAGE
MUST       3/3   ✓ COMPLETE
SHOULD   6/15   ⚠ 9 MISSING
COULD     23/50   ⚠ 27 MISSING
MANDATORY REQUIREMENTS
✓ Cloud — 3 member(s)
✓ AWS — 2 member(s)
✓ Docker — 2 member(s)
REDUNDANCY
✓ 3/3 MUST covered by 2+ members
REGISTERED COLLABORATION
Pairs with history: 9/10 (90%)
█████████░
Shared projects: 44 total
Mean among pairs with history: 4.9
Strongest-history pair: 7 project(s)</t>
        </is>
      </c>
      <c r="F8" s="7" t="inlineStr">
        <is>
          <t>Yes</t>
        </is>
      </c>
      <c r="G8" s="7" t="inlineStr"/>
    </row>
    <row r="9">
      <c r="A9" s="7" t="inlineStr">
        <is>
          <t>A006</t>
        </is>
      </c>
      <c r="B9" s="7" t="inlineStr">
        <is>
          <t>P9</t>
        </is>
      </c>
      <c r="C9" s="7" t="inlineStr">
        <is>
          <t>T-1384</t>
        </is>
      </c>
      <c r="D9" s="7" t="inlineStr">
        <is>
          <t>Davi-290
Mia-382
Gael-560
Teo-647
Gabi-484
Gabi-94</t>
        </is>
      </c>
      <c r="E9" s="7" t="inlineStr">
        <is>
          <t>TECHNICAL COVERAGE
MUST       — NOT DEFINED
SHOULD   4/5   ⚠ 1 MISSING
COULD     30/71   ⚠ 41 MISSING
MANDATORY REQUIREMENTS
No MUST requirement defined.
REDUNDANCY
Not applicable
REGISTERED COLLABORATION
Pairs with history: 10/15 (67%)
███████░░░
Shared projects: 43 total
Mean among pairs with history: 4.3
Strongest-history pair: 6 project(s)</t>
        </is>
      </c>
      <c r="F9" s="7" t="inlineStr">
        <is>
          <t>No</t>
        </is>
      </c>
      <c r="G9" s="7" t="inlineStr">
        <is>
          <t>Trocaria algume que tivesse o conhecimento tecnico necessario</t>
        </is>
      </c>
    </row>
    <row r="10">
      <c r="A10" s="7" t="inlineStr">
        <is>
          <t>A007</t>
        </is>
      </c>
      <c r="B10" s="7" t="inlineStr">
        <is>
          <t>P7</t>
        </is>
      </c>
      <c r="C10" s="7" t="inlineStr">
        <is>
          <t>T-8765</t>
        </is>
      </c>
      <c r="D10" s="7" t="inlineStr">
        <is>
          <t>Iris-81
Jade-370
Lara-415
Enzo-282
Leo-336</t>
        </is>
      </c>
      <c r="E10" s="7" t="inlineStr">
        <is>
          <t>TECHNICAL COVERAGE
MUST       1/1   ✓ COMPLETE
SHOULD   12/29   ⚠ 17 MISSING
COULD     15/40   ⚠ 25 MISSING
MANDATORY REQUIREMENTS
✓ Web — 4 member(s)
REDUNDANCY
✓ 1/1 MUST covered by 2+ members
REGISTERED COLLABORATION
Pairs with history: 10/10 (100%)
██████████
Shared projects: 54 total
Mean among pairs with history: 5.4
Strongest-history pair: 7 project(s)</t>
        </is>
      </c>
      <c r="F10" s="7" t="inlineStr">
        <is>
          <t>Yes</t>
        </is>
      </c>
      <c r="G10" s="7" t="inlineStr"/>
    </row>
    <row r="11">
      <c r="A11" s="7" t="inlineStr">
        <is>
          <t>A008</t>
        </is>
      </c>
      <c r="B11" s="7" t="inlineStr">
        <is>
          <t>P11</t>
        </is>
      </c>
      <c r="C11" s="7" t="inlineStr">
        <is>
          <t>T-2548</t>
        </is>
      </c>
      <c r="D11" s="7" t="inlineStr">
        <is>
          <t>Ari-437
Jo-583
Nilo-467
Leo-336
Miro-498
Bia-458
Mia-317
Lara-415
Enzo-282</t>
        </is>
      </c>
      <c r="E11" s="7" t="inlineStr">
        <is>
          <t>TECHNICAL COVERAGE
MUST       — NOT DEFINED
SHOULD   4/5   ⚠ 1 MISSING
COULD     35/56   ⚠ 21 MISSING
MANDATORY REQUIREMENTS
No MUST requirement defined.
REDUNDANCY
Not applicable
REGISTERED COLLABORATION
Pairs with history: 36/36 (100%)
██████████
Shared projects: 153 total
Mean among pairs with history: 4.3
Strongest-history pair: 9 project(s)</t>
        </is>
      </c>
      <c r="F11" s="7" t="inlineStr">
        <is>
          <t>Yes with minor changes</t>
        </is>
      </c>
      <c r="G11" s="7" t="inlineStr"/>
    </row>
    <row r="12">
      <c r="A12" s="7" t="inlineStr">
        <is>
          <t>A009</t>
        </is>
      </c>
      <c r="B12" s="7" t="inlineStr">
        <is>
          <t>P8</t>
        </is>
      </c>
      <c r="C12" s="7" t="inlineStr">
        <is>
          <t>T-1457</t>
        </is>
      </c>
      <c r="D12" s="7" t="inlineStr">
        <is>
          <t>Jade-370
Ravi-398
Lara-415
Leo-336
Iris-81</t>
        </is>
      </c>
      <c r="E12" s="7" t="inlineStr">
        <is>
          <t>TECHNICAL COVERAGE
MUST       2/2   ✓ COMPLETE
SHOULD   17/18   ⚠ 1 MISSING
COULD     15/32   ⚠ 17 MISSING
MANDATORY REQUIREMENTS
✓ Web — 3 member(s)
✓ AWS — 2 member(s)
REDUNDANCY
✓ 2/2 MUST covered by 2+ members
REGISTERED COLLABORATION
Pairs with history: 10/10 (100%)
██████████
Shared projects: 46 total
Mean among pairs with history: 4.6
Strongest-history pair: 6 project(s)</t>
        </is>
      </c>
      <c r="F12" s="7" t="inlineStr">
        <is>
          <t>Yes</t>
        </is>
      </c>
      <c r="G12" s="7" t="inlineStr"/>
    </row>
    <row r="13">
      <c r="A13" s="7" t="inlineStr">
        <is>
          <t>A010</t>
        </is>
      </c>
      <c r="B13" s="7" t="inlineStr">
        <is>
          <t>P2</t>
        </is>
      </c>
      <c r="C13" s="7" t="inlineStr">
        <is>
          <t>T-4526</t>
        </is>
      </c>
      <c r="D13" s="7" t="inlineStr">
        <is>
          <t>Nina-7
Davi-290
Gabi-484
Raul-33
Gabi-94
Gael-560
Mia-447
Nina-397</t>
        </is>
      </c>
      <c r="E13" s="7" t="inlineStr">
        <is>
          <t>TECHNICAL COVERAGE
MUST       — NOT DEFINED
SHOULD   11/20   ⚠ 9 MISSING
COULD     29/57   ⚠ 28 MISSING
MANDATORY REQUIREMENTS
No MUST requirement defined.
REDUNDANCY
Not applicable
REGISTERED COLLABORATION
Pairs with history: 21/28 (75%)
████████░░
Shared projects: 89 total
Mean among pairs with history: 4.2
Strongest-history pair: 18 project(s)</t>
        </is>
      </c>
      <c r="F13" s="7" t="inlineStr">
        <is>
          <t>No</t>
        </is>
      </c>
      <c r="G13" s="7" t="inlineStr">
        <is>
          <t xml:space="preserve">Trocaria para 2 membros da equipe, para pessoas com conhecimento mais necessario ao projeto </t>
        </is>
      </c>
    </row>
    <row r="14">
      <c r="A14" s="7" t="inlineStr">
        <is>
          <t>A011</t>
        </is>
      </c>
      <c r="B14" s="7" t="inlineStr">
        <is>
          <t>P13</t>
        </is>
      </c>
      <c r="C14" s="7" t="inlineStr">
        <is>
          <t>T-1559</t>
        </is>
      </c>
      <c r="D14" s="7" t="inlineStr">
        <is>
          <t>Caio-589
Jo-583
Miro-498
Ivo-720</t>
        </is>
      </c>
      <c r="E14" s="7" t="inlineStr">
        <is>
          <t>TECHNICAL COVERAGE
MUST       4/4   ✓ COMPLETE
SHOULD   3/3   ✓ COMPLETE
COULD     7/8   ⚠ 1 MISSING
MANDATORY REQUIREMENTS
✓ Hardware — 4 member(s)
✓ NumPy — 3 member(s)
✓ C — 4 member(s)
✓ Python — 4 member(s)
REDUNDANCY
✓ 4/4 MUST covered by 2+ members
REGISTERED COLLABORATION
Pairs with history: 6/6 (100%)
██████████
Shared projects: 30 total
Mean among pairs with history: 5.0
Strongest-history pair: 6 project(s)</t>
        </is>
      </c>
      <c r="F14" s="7" t="inlineStr">
        <is>
          <t>Yes</t>
        </is>
      </c>
      <c r="G14" s="7" t="inlineStr"/>
    </row>
    <row r="15">
      <c r="A15" s="7" t="inlineStr">
        <is>
          <t>A012</t>
        </is>
      </c>
      <c r="B15" s="7" t="inlineStr">
        <is>
          <t>P10</t>
        </is>
      </c>
      <c r="C15" s="7" t="inlineStr">
        <is>
          <t>T-5887</t>
        </is>
      </c>
      <c r="D15" s="7" t="inlineStr">
        <is>
          <t>Davi-615
Teo-257
Enzo-477
Gabi-94
Lino-496
Mia-382
Bela-492
Mila-27</t>
        </is>
      </c>
      <c r="E15" s="7" t="inlineStr">
        <is>
          <t>TECHNICAL COVERAGE
MUST       1/1   ✓ COMPLETE
SHOULD   26/27   ⚠ 1 MISSING
COULD     39/72   ⚠ 33 MISSING
MANDATORY REQUIREMENTS
✓ Web — 7 member(s)
REDUNDANCY
✓ 1/1 MUST covered by 2+ members
REGISTERED COLLABORATION
Pairs with history: 28/28 (100%)
██████████
Shared projects: 128 total
Mean among pairs with history: 4.6
Strongest-history pair: 8 project(s)</t>
        </is>
      </c>
      <c r="F15" s="7" t="inlineStr">
        <is>
          <t>Yes with minor changes</t>
        </is>
      </c>
      <c r="G15" s="7" t="inlineStr"/>
    </row>
    <row r="16">
      <c r="A16" s="7" t="inlineStr">
        <is>
          <t>A013</t>
        </is>
      </c>
      <c r="B16" s="7" t="inlineStr">
        <is>
          <t>P15</t>
        </is>
      </c>
      <c r="C16" s="7" t="inlineStr">
        <is>
          <t>T-9656</t>
        </is>
      </c>
      <c r="D16" s="7" t="inlineStr">
        <is>
          <t>Miro-563
Miro-498
Jo-583
Nilo-467
Ian-570</t>
        </is>
      </c>
      <c r="E16" s="7" t="inlineStr">
        <is>
          <t>TECHNICAL COVERAGE
MUST       — NOT DEFINED
SHOULD   10/23   ⚠ 13 MISSING
COULD     10/31   ⚠ 21 MISSING
MANDATORY REQUIREMENTS
No MUST requirement defined.
REDUNDANCY
Not applicable
REGISTERED COLLABORATION
Pairs with history: 9/10 (90%)
█████████░
Shared projects: 37 total
Mean among pairs with history: 4.1
Strongest-history pair: 6 project(s)</t>
        </is>
      </c>
      <c r="F16" s="7" t="inlineStr">
        <is>
          <t>No</t>
        </is>
      </c>
      <c r="G16" s="7" t="inlineStr">
        <is>
          <t xml:space="preserve">Trocaria dois membros de equipes com maior aderencia ao projeto </t>
        </is>
      </c>
    </row>
    <row r="17">
      <c r="A17" s="7" t="inlineStr">
        <is>
          <t>A014</t>
        </is>
      </c>
      <c r="B17" s="7" t="inlineStr">
        <is>
          <t>P14</t>
        </is>
      </c>
      <c r="C17" s="7" t="inlineStr">
        <is>
          <t>T-2098</t>
        </is>
      </c>
      <c r="D17" s="7" t="inlineStr">
        <is>
          <t>Rosa-359
Lara-220
Ivan-357
Eli-503</t>
        </is>
      </c>
      <c r="E17" s="7" t="inlineStr">
        <is>
          <t>TECHNICAL COVERAGE
MUST       4/4   ✓ COMPLETE
SHOULD   4/4   ✓ COMPLETE
COULD     23/45   ⚠ 22 MISSING
MANDATORY REQUIREMENTS
✓ Web — 4 member(s)
✓ Angular — 4 member(s)
✓ Progressive Web App (PWA) — 4 member(s)
✓ CSS — 3 member(s)
REDUNDANCY
✓ 4/4 MUST covered by 2+ members
REGISTERED COLLABORATION
Pairs with history: 6/6 (100%)
██████████
Shared projects: 28 total
Mean among pairs with history: 4.7
Strongest-history pair: 6 project(s)</t>
        </is>
      </c>
      <c r="F17" s="7" t="inlineStr">
        <is>
          <t>Yes</t>
        </is>
      </c>
      <c r="G17" s="7" t="inlineStr"/>
    </row>
    <row r="18">
      <c r="A18" s="7" t="inlineStr">
        <is>
          <t>A015</t>
        </is>
      </c>
      <c r="B18" s="7" t="inlineStr">
        <is>
          <t>P4</t>
        </is>
      </c>
      <c r="C18" s="7" t="inlineStr">
        <is>
          <t>T-2703</t>
        </is>
      </c>
      <c r="D18" s="7" t="inlineStr">
        <is>
          <t>Bela-492
Teo-257
Lino-496
Gabi-94
Mia-382
Enzo-477
Mila-27
Jade-500
Davi-615</t>
        </is>
      </c>
      <c r="E18" s="7" t="inlineStr">
        <is>
          <t>TECHNICAL COVERAGE
MUST       2/2   ✓ COMPLETE
SHOULD   15/17   ⚠ 2 MISSING
COULD     43/79   ⚠ 36 MISSING
MANDATORY REQUIREMENTS
✓ Web — 8 member(s)
✓ AWS — 7 member(s)
REDUNDANCY
✓ 2/2 MUST covered by 2+ members
REGISTERED COLLABORATION
Pairs with history: 36/36 (100%)
██████████
Shared projects: 184 total
Mean among pairs with history: 5.1
Strongest-history pair: 22 project(s)</t>
        </is>
      </c>
      <c r="F18" s="7" t="inlineStr">
        <is>
          <t>Yes</t>
        </is>
      </c>
      <c r="G18" s="7" t="inlineStr"/>
    </row>
    <row r="19">
      <c r="A19" s="7" t="inlineStr">
        <is>
          <t>A016</t>
        </is>
      </c>
      <c r="B19" s="7" t="inlineStr">
        <is>
          <t>P16</t>
        </is>
      </c>
      <c r="C19" s="7" t="inlineStr">
        <is>
          <t>T-9373</t>
        </is>
      </c>
      <c r="D19" s="7" t="inlineStr">
        <is>
          <t>Mia-317
Iris-81
Mel-316
Nilo-467
Lara-415
Jade-370
Ravi-398
Leo-336
Enzo-282</t>
        </is>
      </c>
      <c r="E19" s="7" t="inlineStr">
        <is>
          <t>TECHNICAL COVERAGE
MUST       — NOT DEFINED
SHOULD   10/12   ⚠ 2 MISSING
COULD     33/57   ⚠ 24 MISSING
MANDATORY REQUIREMENTS
No MUST requirement defined.
REDUNDANCY
Not applicable
REGISTERED COLLABORATION
Pairs with history: 36/36 (100%)
██████████
Shared projects: 201 total
Mean among pairs with history: 5.6
Strongest-history pair: 12 project(s)</t>
        </is>
      </c>
      <c r="F19" s="7" t="inlineStr">
        <is>
          <t>Yes with minor changes</t>
        </is>
      </c>
      <c r="G19" s="7" t="inlineStr">
        <is>
          <t xml:space="preserve">Trocaria 1 membro da equipe com maior aderencia tecnica ao projeto </t>
        </is>
      </c>
    </row>
    <row r="21">
      <c r="A21" s="9" t="inlineStr">
        <is>
          <t>Original source field names, in column order:</t>
        </is>
      </c>
    </row>
    <row r="22">
      <c r="A22" s="9" t="inlineStr">
        <is>
          <t>Row, Project, Team, Roster, Indicators for this roster, Q1. Would you staff this team as-is?, Q2. If not as-is, what would you change? (optional)</t>
        </is>
      </c>
    </row>
    <row r="23">
      <c r="A23" s="9" t="inlineStr">
        <is>
          <t>Row 3 (Row = EXAMPLE) is an illustrative worked example, not a real participant response; it is excluded from all Summary tallies.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8" customWidth="1" min="2" max="2"/>
    <col width="11" customWidth="1" min="3" max="3"/>
    <col width="8" customWidth="1" min="4" max="4"/>
    <col width="9" customWidth="1" min="5" max="5"/>
    <col width="68" customWidth="1" min="6" max="6"/>
  </cols>
  <sheetData>
    <row r="1">
      <c r="A1" s="8" t="inlineStr">
        <is>
          <t>Relative Source Path</t>
        </is>
      </c>
      <c r="B1" s="8" t="inlineStr">
        <is>
          <t>Type</t>
        </is>
      </c>
      <c r="C1" s="8" t="inlineStr">
        <is>
          <t>Bytes</t>
        </is>
      </c>
      <c r="D1" s="8" t="inlineStr">
        <is>
          <t>Rows</t>
        </is>
      </c>
      <c r="E1" s="8" t="inlineStr">
        <is>
          <t>Columns</t>
        </is>
      </c>
      <c r="F1" s="8" t="inlineStr">
        <is>
          <t>SHA-256</t>
        </is>
      </c>
    </row>
    <row r="2">
      <c r="A2" s="9" t="inlineStr">
        <is>
          <t>validação final expert/comparacoes_modelo.csv</t>
        </is>
      </c>
      <c r="B2" s="9" t="inlineStr">
        <is>
          <t>csv</t>
        </is>
      </c>
      <c r="C2" s="9" t="n">
        <v>55794</v>
      </c>
      <c r="D2" s="9" t="n">
        <v>54</v>
      </c>
      <c r="E2" s="9" t="n">
        <v>14</v>
      </c>
      <c r="F2" s="9" t="inlineStr">
        <is>
          <t>ba332c51328aa363f4a3f3e005b5551044760c74c1285ca0c7c8562c68466bed</t>
        </is>
      </c>
    </row>
    <row r="3">
      <c r="A3" s="9" t="inlineStr">
        <is>
          <t>validação final expert/[TFP] expert_study_workbook - Acceptability.csv</t>
        </is>
      </c>
      <c r="B3" s="9" t="inlineStr">
        <is>
          <t>csv</t>
        </is>
      </c>
      <c r="C3" s="9" t="n">
        <v>8908</v>
      </c>
      <c r="D3" s="9" t="n">
        <v>18</v>
      </c>
      <c r="E3" s="9" t="n">
        <v>7</v>
      </c>
      <c r="F3" s="9" t="inlineStr">
        <is>
          <t>a182bd4a1c44eb0c921ec4c6509d14e6678bbf898ad9520afb17ef770aa816f3</t>
        </is>
      </c>
    </row>
    <row r="4">
      <c r="A4" s="9" t="inlineStr">
        <is>
          <t>REPOSITÓRIOS DOS EXPERIMENTOS/resultados_especialista_e_bn_surrogate (1).xlsx</t>
        </is>
      </c>
      <c r="B4" s="9" t="inlineStr">
        <is>
          <t>xlsx</t>
        </is>
      </c>
      <c r="C4" s="9" t="n">
        <v>30159</v>
      </c>
      <c r="D4" s="9" t="n"/>
      <c r="E4" s="9" t="n"/>
      <c r="F4" s="9" t="inlineStr">
        <is>
          <t>a7257200b74a5bbf43921d30233fdc399c935aacc13034e5dfc4eafbec108b0e</t>
        </is>
      </c>
    </row>
    <row r="5">
      <c r="A5" s="9" t="inlineStr">
        <is>
          <t>SEIP_ICSE__27__Felipe_/EVIDENCIAS_WORKSHOP_TEAMPLUS_RQ5.md</t>
        </is>
      </c>
      <c r="B5" s="9" t="inlineStr">
        <is>
          <t>md</t>
        </is>
      </c>
      <c r="C5" s="9" t="n">
        <v>7137</v>
      </c>
      <c r="D5" s="9" t="n"/>
      <c r="E5" s="9" t="n"/>
      <c r="F5" s="9" t="inlineStr">
        <is>
          <t>c6bf3d95f2c5e190952f78bb2dc92a77571805150b0c6fb2a971f2672167a3f3</t>
        </is>
      </c>
    </row>
    <row r="6">
      <c r="A6" s="9" t="inlineStr">
        <is>
          <t>SEIP_ICSE__27__Felipe_/RELATORIO_INVESTIGACAO_VALIDACAO_FINAL_RQ5.md</t>
        </is>
      </c>
      <c r="B6" s="9" t="inlineStr">
        <is>
          <t>md</t>
        </is>
      </c>
      <c r="C6" s="9" t="n">
        <v>14892</v>
      </c>
      <c r="D6" s="9" t="n"/>
      <c r="E6" s="9" t="n"/>
      <c r="F6" s="9" t="inlineStr">
        <is>
          <t>4200acf00049dbd6cde377230ef2cf4b778e94689084681c823093cfea8f2e40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2026-08-30T01:18:32Z</dcterms:created>
  <dcterms:modified xmlns:dcterms="http://purl.org/dc/terms/" xmlns:xsi="http://www.w3.org/2001/XMLSchema-instance" xsi:type="dcterms:W3CDTF">2026-08-30T01:18:32Z</dcterms:modified>
</cp:coreProperties>
</file>
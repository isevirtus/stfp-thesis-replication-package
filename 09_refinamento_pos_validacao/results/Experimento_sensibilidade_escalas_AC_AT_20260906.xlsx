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e7406a468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5bf070351574363"/>
    <x:sheet xmlns:r="http://schemas.openxmlformats.org/officeDocument/2006/relationships" name="Compressao AC" sheetId="2" r:id="Rb74fe4ead2e04c8b"/>
    <x:sheet xmlns:r="http://schemas.openxmlformats.org/officeDocument/2006/relationships" name="Escalas genericas" sheetId="3" r:id="R4ba86a8cab1e4129"/>
    <x:sheet xmlns:r="http://schemas.openxmlformats.org/officeDocument/2006/relationships" name="Sensibilidade local" sheetId="4" r:id="R5d97e6f769a84c27"/>
    <x:sheet xmlns:r="http://schemas.openxmlformats.org/officeDocument/2006/relationships" name="Proveniencia" sheetId="5" r:id="R73d5c77d5b8f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0"/>
    <x:numFmt numFmtId="202" formatCode="0.0000000000"/>
    <x:numFmt numFmtId="203" formatCode="0.000000"/>
  </x:numFmts>
  <x:fonts count="6">
    <x:font>
      <x:sz val="11"/>
      <x:name val="Carlito"/>
    </x:font>
    <x:font>
      <x:b/>
      <x:sz val="16"/>
      <x:color rgb="FF1F2937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0061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9">
    <x:border/>
    <x:border>
      <x:bottom style="thin">
        <x:color rgb="FFA6A6A6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left style="thin">
        <x:color rgb="FFBFBFBF"/>
      </x:left>
      <x:right style="thin">
        <x:color rgb="FFFFFFFF"/>
      </x:right>
      <x:top style="thin">
        <x:color rgb="FFBFBFBF"/>
      </x:top>
    </x:border>
    <x:border>
      <x:left style="thin">
        <x:color rgb="FFFFFFF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right style="thin">
        <x:color rgb="FFFFFFFF"/>
      </x:right>
    </x:border>
    <x:border>
      <x:left style="thin">
        <x:color rgb="FFFFFFFF"/>
      </x:left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FFFFFF"/>
      </x:left>
      <x:right style="thin">
        <x:color rgb="FFFFFFFF"/>
      </x:right>
      <x:top style="thin">
        <x:color rgb="FFBFBFBF"/>
      </x:top>
    </x:border>
    <x:border>
      <x:left style="thin">
        <x:color rgb="FFFFFFFF"/>
      </x:left>
      <x:right style="thin">
        <x:color rgb="FFBFBFBF"/>
      </x:right>
      <x:top style="thin">
        <x:color rgb="FFBFBFBF"/>
      </x:top>
    </x:border>
    <x:border>
      <x:left style="thin">
        <x:color rgb="FFBFBFBF"/>
      </x:left>
      <x:top style="thin">
        <x:color rgb="FFBFBFBF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4" fillId="0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9" xfId="0" applyNumberFormat="1" applyFont="1" applyFill="1" applyBorder="1"/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4" fillId="0" borderId="10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17" xfId="0" applyNumberFormat="1" applyFont="1" applyFill="1" applyBorder="1" applyAlignment="1">
      <x:alignment horizontal="center" vertical="center" wrapText="1"/>
    </x:xf>
    <x:xf numFmtId="202" fontId="4" fillId="0" borderId="10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201" fontId="4" fillId="0" borderId="14" xfId="0" applyNumberFormat="1" applyFont="1" applyFill="1" applyBorder="1" applyAlignment="1">
      <x:alignment vertical="center"/>
    </x:xf>
    <x:xf numFmtId="0" fontId="4" fillId="3" borderId="14" xfId="0" applyNumberFormat="1" applyFont="1" applyFill="1" applyBorder="1" applyAlignment="1">
      <x:alignment vertical="center"/>
    </x:xf>
    <x:xf numFmtId="202" fontId="4" fillId="0" borderId="14" xfId="0" applyNumberFormat="1" applyFont="1" applyFill="1" applyBorder="1" applyAlignment="1">
      <x:alignment vertical="center"/>
    </x:xf>
    <x:xf numFmtId="202" fontId="4" fillId="0" borderId="15" xfId="0" applyNumberFormat="1" applyFont="1" applyFill="1" applyBorder="1" applyAlignment="1">
      <x:alignment vertical="center"/>
    </x:xf>
    <x:xf numFmtId="0" fontId="4" fillId="0" borderId="18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/>
    </x:xf>
    <x:xf numFmtId="203" fontId="4" fillId="0" borderId="7" xfId="0" applyNumberFormat="1" applyFont="1" applyFill="1" applyBorder="1" applyAlignment="1">
      <x:alignment vertical="center"/>
    </x:xf>
    <x:xf numFmtId="203" fontId="4" fillId="0" borderId="1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2641ac95f41a2" /><Relationship Type="http://schemas.openxmlformats.org/officeDocument/2006/relationships/theme" Target="/xl/theme/theme1.xml" Id="Rb64ef8e5a5fb4e91" /><Relationship Type="http://schemas.openxmlformats.org/officeDocument/2006/relationships/sharedStrings" Target="/xl/sharedStrings.xml" Id="R4553dfa3f80d4985" /><Relationship Type="http://schemas.openxmlformats.org/officeDocument/2006/relationships/worksheet" Target="/xl/worksheets/sheet1.xml" Id="R05bf070351574363" /><Relationship Type="http://schemas.openxmlformats.org/officeDocument/2006/relationships/worksheet" Target="/xl/worksheets/sheet2.xml" Id="Rb74fe4ead2e04c8b" /><Relationship Type="http://schemas.openxmlformats.org/officeDocument/2006/relationships/worksheet" Target="/xl/worksheets/sheet3.xml" Id="R4ba86a8cab1e4129" /><Relationship Type="http://schemas.openxmlformats.org/officeDocument/2006/relationships/worksheet" Target="/xl/worksheets/sheet4.xml" Id="R5d97e6f769a84c27" /><Relationship Type="http://schemas.openxmlformats.org/officeDocument/2006/relationships/worksheet" Target="/xl/worksheets/sheet5.xml" Id="R73d5c77d5b8f4c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43af26597c494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8bc2ea7f1aa4a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AC original e AC comprimido por nível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AC_original</c:v>
          </c:tx>
          <c:marker>
            <c:symbol val="none"/>
          </c:marker>
          <c:cat>
            <c:strRef>
              <c:f>'Compressao AC'!$A$6:$A$10</c:f>
              <c:strCache>
                <c:ptCount val="0"/>
              </c:strCache>
            </c:strRef>
          </c:cat>
          <c:val>
            <c:numRef>
              <c:f>'Compressao AC'!$B$6:$B$10</c:f>
              <c:numCache>
                <c:formatCode>0.0000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AC_comprimido</c:v>
          </c:tx>
          <c:marker>
            <c:symbol val="none"/>
          </c:marker>
          <c:cat>
            <c:strRef>
              <c:f>'Compressao AC'!$A$6:$A$10</c:f>
              <c:strCache>
                <c:ptCount val="0"/>
              </c:strCache>
            </c:strRef>
          </c:cat>
          <c:val>
            <c:numRef>
              <c:f>'Compressao AC'!$C$6:$C$10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Variação produzida na saída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variacao_saida</c:v>
          </c:tx>
          <c:cat>
            <c:strRef>
              <c:f>'Sensibilidade local'!$A$6:$A$9</c:f>
              <c:strCache>
                <c:ptCount val="0"/>
              </c:strCache>
            </c:strRef>
          </c:cat>
          <c:val>
            <c:numRef>
              <c:f>'Sensibilidade local'!$D$6:$D$9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43af26597c494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bc2ea7f1aa4a6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19972133b9346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77054e9de20d45e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  <x:col min="3" max="3" width="13" hidden="0" customWidth="1"/>
    <x:col min="4" max="4" width="13" hidden="0" customWidth="1"/>
    <x:col min="5" max="5" width="54" hidden="0" customWidth="1"/>
  </x:cols>
  <x:sheetData>
    <x:row r="1" ht="26" customHeight="1">
      <x:c r="A1" s="1" t="str">
        <x:v>Experimento de sensibilidade das escalas AT e AC</x:v>
      </x:c>
    </x:row>
    <x:row r="2">
      <x:c r="A2" s="3" t="str">
        <x:v>Validação isolada da compressão global do AC; não executa GA, não usa projetos reais e não altera o avaliador.</x:v>
      </x:c>
    </x:row>
    <x:row r="3">
      <x:c r="A3" s="4"/>
      <x:c r="B3" s="4"/>
      <x:c r="C3" s="4"/>
      <x:c r="D3" s="4"/>
      <x:c r="E3" s="4"/>
      <x:c r="F3" s="4"/>
      <x:c r="G3" s="4"/>
      <x:c r="H3" s="4"/>
    </x:row>
    <x:row r="5" ht="32" customHeight="1">
      <x:c r="A5" s="23" t="str">
        <x:v>Configuração</x:v>
      </x:c>
      <x:c r="B5" s="24" t="str">
        <x:v>Valor</x:v>
      </x:c>
      <x:c r="C5" s="25"/>
      <x:c r="D5" s="25"/>
      <x:c r="E5" s="26"/>
    </x:row>
    <x:row r="6">
      <x:c r="A6" s="27" t="str">
        <x:v>Transformação</x:v>
      </x:c>
      <x:c r="B6" s="13" t="str">
        <x:v>AC' = 0,5 + 0,5 × (AC − 0,5)</x:v>
      </x:c>
      <x:c r="C6" s="28"/>
      <x:c r="D6" s="28"/>
      <x:c r="E6" s="29"/>
    </x:row>
    <x:row r="7">
      <x:c r="A7" s="27" t="str">
        <x:v>Centro preservado</x:v>
      </x:c>
      <x:c r="B7" s="14" t="n">
        <x:v>0.5</x:v>
      </x:c>
      <x:c r="C7" s="28"/>
      <x:c r="D7" s="28"/>
      <x:c r="E7" s="29"/>
    </x:row>
    <x:row r="8">
      <x:c r="A8" s="27" t="str">
        <x:v>Fator de compressão</x:v>
      </x:c>
      <x:c r="B8" s="14" t="n">
        <x:v>0.5</x:v>
      </x:c>
      <x:c r="C8" s="28"/>
      <x:c r="D8" s="28"/>
      <x:c r="E8" s="29"/>
    </x:row>
    <x:row r="9">
      <x:c r="A9" s="27" t="str">
        <x:v>Agregação AE</x:v>
      </x:c>
      <x:c r="B9" s="13" t="str">
        <x:v>MIXMINMAX: pior componente ×5; melhor componente ×1</x:v>
      </x:c>
      <x:c r="C9" s="28"/>
      <x:c r="D9" s="28"/>
      <x:c r="E9" s="29"/>
    </x:row>
    <x:row r="10">
      <x:c r="A10" s="27" t="str">
        <x:v>Resultado da execução</x:v>
      </x:c>
      <x:c r="B10" s="16" t="str">
        <x:v>Todos os testes passaram</x:v>
      </x:c>
      <x:c r="C10" s="28"/>
      <x:c r="D10" s="28"/>
      <x:c r="E10" s="29"/>
    </x:row>
    <x:row r="11">
      <x:c r="A11" s="30"/>
      <x:c r="B11" s="28"/>
      <x:c r="C11" s="28"/>
      <x:c r="D11" s="28"/>
      <x:c r="E11" s="29"/>
    </x:row>
    <x:row r="12" ht="32" customHeight="1">
      <x:c r="A12" s="31" t="str">
        <x:v>Escala</x:v>
      </x:c>
      <x:c r="B12" s="17" t="str">
        <x:v>Mínimo</x:v>
      </x:c>
      <x:c r="C12" s="17" t="str">
        <x:v>Máximo</x:v>
      </x:c>
      <x:c r="D12" s="17" t="str">
        <x:v>Amplitude</x:v>
      </x:c>
      <x:c r="E12" s="32" t="str">
        <x:v>Leitura</x:v>
      </x:c>
    </x:row>
    <x:row r="13">
      <x:c r="A13" s="27" t="str">
        <x:v>AT nos centróides VL–VH</x:v>
      </x:c>
      <x:c r="B13" s="14" t="n">
        <x:v>0.1</x:v>
      </x:c>
      <x:c r="C13" s="14" t="n">
        <x:v>0.9</x:v>
      </x:c>
      <x:c r="D13" s="14" t="n">
        <x:v>0.8</x:v>
      </x:c>
      <x:c r="E13" s="33" t="str">
        <x:v>Referência genérica das três entradas Dom/Eco/Ling</x:v>
      </x:c>
    </x:row>
    <x:row r="14">
      <x:c r="A14" s="27" t="str">
        <x:v>AC operacional original</x:v>
      </x:c>
      <x:c r="B14" s="14" t="n">
        <x:v>0.1</x:v>
      </x:c>
      <x:c r="C14" s="14" t="n">
        <x:v>0.9</x:v>
      </x:c>
      <x:c r="D14" s="14" t="n">
        <x:v>0.8</x:v>
      </x:c>
      <x:c r="E14" s="33" t="str">
        <x:v>Antes da transformação</x:v>
      </x:c>
    </x:row>
    <x:row r="15">
      <x:c r="A15" s="34" t="str">
        <x:v>AC operacional comprimido</x:v>
      </x:c>
      <x:c r="B15" s="19" t="n">
        <x:v>0.3</x:v>
      </x:c>
      <x:c r="C15" s="19" t="n">
        <x:v>0.7</x:v>
      </x:c>
      <x:c r="D15" s="19" t="n">
        <x:v>0.4</x:v>
      </x:c>
      <x:c r="E15" s="35" t="str">
        <x:v>Amplitude reduzida pela metade</x:v>
      </x:c>
    </x:row>
    <x:row r="16">
      <x:c r="A16" s="30"/>
      <x:c r="B16" s="28"/>
      <x:c r="C16" s="28"/>
      <x:c r="D16" s="28"/>
      <x:c r="E16" s="29"/>
    </x:row>
    <x:row r="17" ht="32" customHeight="1">
      <x:c r="A17" s="31" t="str">
        <x:v>Propriedade verificada</x:v>
      </x:c>
      <x:c r="B17" s="11" t="str">
        <x:v>Resultado</x:v>
      </x:c>
      <x:c r="C17" s="28"/>
      <x:c r="D17" s="28"/>
      <x:c r="E17" s="29"/>
    </x:row>
    <x:row r="18">
      <x:c r="A18" s="27" t="str">
        <x:v>Ordem VL &lt; L &lt; M &lt; H &lt; VH</x:v>
      </x:c>
      <x:c r="B18" s="15" t="str">
        <x:v>Preservada</x:v>
      </x:c>
      <x:c r="C18" s="28"/>
      <x:c r="D18" s="28"/>
      <x:c r="E18" s="29"/>
    </x:row>
    <x:row r="19">
      <x:c r="A19" s="27" t="str">
        <x:v>Ponto central 0,50</x:v>
      </x:c>
      <x:c r="B19" s="15" t="str">
        <x:v>Preservado</x:v>
      </x:c>
      <x:c r="C19" s="28"/>
      <x:c r="D19" s="28"/>
      <x:c r="E19" s="29"/>
    </x:row>
    <x:row r="20">
      <x:c r="A20" s="27" t="str">
        <x:v>Amplitude operacional do AC</x:v>
      </x:c>
      <x:c r="B20" s="13" t="str">
        <x:v>0,80 → 0,40</x:v>
      </x:c>
      <x:c r="C20" s="28"/>
      <x:c r="D20" s="28"/>
      <x:c r="E20" s="29"/>
    </x:row>
    <x:row r="21">
      <x:c r="A21" s="27" t="str">
        <x:v>Deslocamento dos extremos</x:v>
      </x:c>
      <x:c r="B21" s="13" t="str">
        <x:v>0,10 → 0,30 e 0,90 → 0,70</x:v>
      </x:c>
      <x:c r="C21" s="28"/>
      <x:c r="D21" s="28"/>
      <x:c r="E21" s="29"/>
    </x:row>
    <x:row r="22">
      <x:c r="A22" s="30"/>
      <x:c r="B22" s="28"/>
      <x:c r="C22" s="28"/>
      <x:c r="D22" s="28"/>
      <x:c r="E22" s="29"/>
    </x:row>
    <x:row r="23" ht="32" customHeight="1">
      <x:c r="A23" s="31" t="str">
        <x:v>Interpretação</x:v>
      </x:c>
      <x:c r="B23" s="11" t="str">
        <x:v>Conclusão</x:v>
      </x:c>
      <x:c r="C23" s="28"/>
      <x:c r="D23" s="28"/>
      <x:c r="E23" s="29"/>
    </x:row>
    <x:row r="24" ht="42" customHeight="1">
      <x:c r="A24" s="36" t="str">
        <x:v>O que o teste demonstra</x:v>
      </x:c>
      <x:c r="B24" s="21" t="str">
        <x:v>A transformação reduz pela metade a distância do AC ao centro 0,50, sem inverter os níveis.</x:v>
      </x:c>
      <x:c r="C24" s="28"/>
      <x:c r="D24" s="28"/>
      <x:c r="E24" s="29"/>
    </x:row>
    <x:row r="25" ht="42" customHeight="1">
      <x:c r="A25" s="37" t="str">
        <x:v>Limitação</x:v>
      </x:c>
      <x:c r="B25" s="38" t="str">
        <x:v>O teste é genérico. Ele não mede os limites estruturais de AT dos 16 projetos e não comprova igualdade exata entre as escalas em cada projeto.</x:v>
      </x:c>
      <x:c r="C25" s="39"/>
      <x:c r="D25" s="39"/>
      <x:c r="E25" s="4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0" hidden="0" customWidth="1"/>
    <x:col min="10" max="10" width="22" hidden="0" customWidth="1"/>
    <x:col min="11" max="11" width="22" hidden="0" customWidth="1"/>
  </x:cols>
  <x:sheetData>
    <x:row r="1" ht="26" customHeight="1">
      <x:c r="A1" s="1" t="str">
        <x:v>Validação da compressão global do AC</x:v>
      </x:c>
    </x:row>
    <x:row r="2">
      <x:c r="A2" s="3" t="str">
        <x:v>Cada nível ordinal é avaliado pelo surrogate real. As colunas J e K recalculam a transformação e verificam a igualdade numérica.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5" ht="32" customHeight="1">
      <x:c r="A5" s="23" t="str">
        <x:v>﻿estado</x:v>
      </x:c>
      <x:c r="B5" s="43" t="str">
        <x:v>AC_original</x:v>
      </x:c>
      <x:c r="C5" s="43" t="str">
        <x:v>AC_comprimido</x:v>
      </x:c>
      <x:c r="D5" s="43" t="str">
        <x:v>AC_comprimido_esperado</x:v>
      </x:c>
      <x:c r="E5" s="43" t="str">
        <x:v>distancia_original_ate_0_5</x:v>
      </x:c>
      <x:c r="F5" s="43" t="str">
        <x:v>distancia_comprimida_ate_0_5</x:v>
      </x:c>
      <x:c r="G5" s="43" t="str">
        <x:v>AT_fixo_no_teste</x:v>
      </x:c>
      <x:c r="H5" s="43" t="str">
        <x:v>AE_MIXMINMAX</x:v>
      </x:c>
      <x:c r="I5" s="43" t="str">
        <x:v>teste</x:v>
      </x:c>
      <x:c r="J5" s="43" t="str">
        <x:v>AC recalculado na planilha</x:v>
      </x:c>
      <x:c r="K5" s="44" t="str">
        <x:v>Erro absoluto</x:v>
      </x:c>
    </x:row>
    <x:row r="6">
      <x:c r="A6" s="27" t="str">
        <x:v>VL</x:v>
      </x:c>
      <x:c r="B6" s="41" t="n">
        <x:v>0.1</x:v>
      </x:c>
      <x:c r="C6" s="41" t="n">
        <x:v>0.3</x:v>
      </x:c>
      <x:c r="D6" s="41" t="n">
        <x:v>0.3</x:v>
      </x:c>
      <x:c r="E6" s="41" t="n">
        <x:v>0.4</x:v>
      </x:c>
      <x:c r="F6" s="41" t="n">
        <x:v>0.2</x:v>
      </x:c>
      <x:c r="G6" s="41" t="n">
        <x:v>0.5</x:v>
      </x:c>
      <x:c r="H6" s="41" t="n">
        <x:v>0.3333333333333333</x:v>
      </x:c>
      <x:c r="I6" s="15" t="str">
        <x:v>OK</x:v>
      </x:c>
      <x:c r="J6" s="42" t="n">
        <x:f>0.5+0.5*(B6-0.5)</x:f>
        <x:v>0.3</x:v>
      </x:c>
      <x:c r="K6" s="45" t="n">
        <x:f>ABS(C6-J6)</x:f>
        <x:v>0</x:v>
      </x:c>
    </x:row>
    <x:row r="7">
      <x:c r="A7" s="27" t="str">
        <x:v>L</x:v>
      </x:c>
      <x:c r="B7" s="41" t="n">
        <x:v>0.3</x:v>
      </x:c>
      <x:c r="C7" s="41" t="n">
        <x:v>0.4</x:v>
      </x:c>
      <x:c r="D7" s="41" t="n">
        <x:v>0.4</x:v>
      </x:c>
      <x:c r="E7" s="41" t="n">
        <x:v>0.2</x:v>
      </x:c>
      <x:c r="F7" s="41" t="n">
        <x:v>0.09999999999999998</x:v>
      </x:c>
      <x:c r="G7" s="41" t="n">
        <x:v>0.5</x:v>
      </x:c>
      <x:c r="H7" s="41" t="n">
        <x:v>0.4166666666666667</x:v>
      </x:c>
      <x:c r="I7" s="15" t="str">
        <x:v>OK</x:v>
      </x:c>
      <x:c r="J7" s="42" t="n">
        <x:f>0.5+0.5*(B7-0.5)</x:f>
        <x:v>0.4</x:v>
      </x:c>
      <x:c r="K7" s="45" t="n">
        <x:f>ABS(C7-J7)</x:f>
        <x:v>0</x:v>
      </x:c>
    </x:row>
    <x:row r="8">
      <x:c r="A8" s="27" t="str">
        <x:v>M</x:v>
      </x:c>
      <x:c r="B8" s="41" t="n">
        <x:v>0.5</x:v>
      </x:c>
      <x:c r="C8" s="41" t="n">
        <x:v>0.5</x:v>
      </x:c>
      <x:c r="D8" s="41" t="n">
        <x:v>0.5</x:v>
      </x:c>
      <x:c r="E8" s="41" t="n">
        <x:v>0</x:v>
      </x:c>
      <x:c r="F8" s="41" t="n">
        <x:v>0</x:v>
      </x:c>
      <x:c r="G8" s="41" t="n">
        <x:v>0.5</x:v>
      </x:c>
      <x:c r="H8" s="41" t="n">
        <x:v>0.5</x:v>
      </x:c>
      <x:c r="I8" s="15" t="str">
        <x:v>OK</x:v>
      </x:c>
      <x:c r="J8" s="42" t="n">
        <x:f>0.5+0.5*(B8-0.5)</x:f>
        <x:v>0.5</x:v>
      </x:c>
      <x:c r="K8" s="45" t="n">
        <x:f>ABS(C8-J8)</x:f>
        <x:v>0</x:v>
      </x:c>
    </x:row>
    <x:row r="9">
      <x:c r="A9" s="27" t="str">
        <x:v>H</x:v>
      </x:c>
      <x:c r="B9" s="41" t="n">
        <x:v>0.7</x:v>
      </x:c>
      <x:c r="C9" s="41" t="n">
        <x:v>0.6</x:v>
      </x:c>
      <x:c r="D9" s="41" t="n">
        <x:v>0.6</x:v>
      </x:c>
      <x:c r="E9" s="41" t="n">
        <x:v>0.19999999999999996</x:v>
      </x:c>
      <x:c r="F9" s="41" t="n">
        <x:v>0.09999999999999998</x:v>
      </x:c>
      <x:c r="G9" s="41" t="n">
        <x:v>0.5</x:v>
      </x:c>
      <x:c r="H9" s="41" t="n">
        <x:v>0.5166666666666667</x:v>
      </x:c>
      <x:c r="I9" s="15" t="str">
        <x:v>OK</x:v>
      </x:c>
      <x:c r="J9" s="42" t="n">
        <x:f>0.5+0.5*(B9-0.5)</x:f>
        <x:v>0.6</x:v>
      </x:c>
      <x:c r="K9" s="45" t="n">
        <x:f>ABS(C9-J9)</x:f>
        <x:v>0</x:v>
      </x:c>
    </x:row>
    <x:row r="10">
      <x:c r="A10" s="46" t="str">
        <x:v>VH</x:v>
      </x:c>
      <x:c r="B10" s="47" t="n">
        <x:v>0.9</x:v>
      </x:c>
      <x:c r="C10" s="47" t="n">
        <x:v>0.7</x:v>
      </x:c>
      <x:c r="D10" s="47" t="n">
        <x:v>0.7</x:v>
      </x:c>
      <x:c r="E10" s="47" t="n">
        <x:v>0.4</x:v>
      </x:c>
      <x:c r="F10" s="47" t="n">
        <x:v>0.19999999999999996</x:v>
      </x:c>
      <x:c r="G10" s="47" t="n">
        <x:v>0.5</x:v>
      </x:c>
      <x:c r="H10" s="47" t="n">
        <x:v>0.5333333333333333</x:v>
      </x:c>
      <x:c r="I10" s="48" t="str">
        <x:v>OK</x:v>
      </x:c>
      <x:c r="J10" s="49" t="n">
        <x:f>0.5+0.5*(B10-0.5)</x:f>
        <x:v>0.7</x:v>
      </x:c>
      <x:c r="K10" s="50" t="n">
        <x:f>ABS(C10-J10)</x:f>
        <x:v>0</x:v>
      </x:c>
    </x:row>
  </x:sheetData>
  <x:conditionalFormatting sqref="K6:K10">
    <x:cfRule type="cellIs" dxfId="0" priority="1" operator="greaterThan">
      <x:formula>1e-9</x:formula>
    </x:cfRule>
  </x:conditionalFormatting>
  <x:pageMargins left="0.7" right="0.7" top="0.75" bottom="0.75" header="0.3" footer="0.3"/>
  <x:drawing xmlns:r="http://schemas.openxmlformats.org/officeDocument/2006/relationships" r:id="Re19972133b93463b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62" hidden="0" customWidth="1"/>
  </x:cols>
  <x:sheetData>
    <x:row r="1" ht="26" customHeight="1">
      <x:c r="A1" s="1" t="str">
        <x:v>Resumo das escalas genéricas</x:v>
      </x:c>
    </x:row>
    <x:row r="2">
      <x:c r="A2" s="3" t="str">
        <x:v>Limites matemáticos e operacionais usados para interpretar a transformação. Valores não são limites estruturais por projeto.</x:v>
      </x:c>
    </x:row>
    <x:row r="3">
      <x:c r="A3" s="4"/>
      <x:c r="B3" s="4"/>
      <x:c r="C3" s="4"/>
      <x:c r="D3" s="4"/>
      <x:c r="E3" s="4"/>
    </x:row>
    <x:row r="5" ht="32" customHeight="1">
      <x:c r="A5" s="10" t="str">
        <x:v>﻿indicador</x:v>
      </x:c>
      <x:c r="B5" s="17" t="str">
        <x:v>minimo</x:v>
      </x:c>
      <x:c r="C5" s="17" t="str">
        <x:v>maximo</x:v>
      </x:c>
      <x:c r="D5" s="17" t="str">
        <x:v>amplitude</x:v>
      </x:c>
      <x:c r="E5" s="11" t="str">
        <x:v>observacao</x:v>
      </x:c>
    </x:row>
    <x:row r="6">
      <x:c r="A6" s="51" t="str">
        <x:v>AT_teorico_com_entradas_0_a_1</x:v>
      </x:c>
      <x:c r="B6" s="52" t="n">
        <x:v>0</x:v>
      </x:c>
      <x:c r="C6" s="52" t="n">
        <x:v>1</x:v>
      </x:c>
      <x:c r="D6" s="52" t="n">
        <x:v>1</x:v>
      </x:c>
      <x:c r="E6" s="55" t="str">
        <x:v>Limite matematico generico; nao e por projeto.</x:v>
      </x:c>
    </x:row>
    <x:row r="7">
      <x:c r="A7" s="27" t="str">
        <x:v>AT_com_tres_entradas_nos_centroides</x:v>
      </x:c>
      <x:c r="B7" s="41" t="n">
        <x:v>0.1</x:v>
      </x:c>
      <x:c r="C7" s="41" t="n">
        <x:v>0.8999999999999999</x:v>
      </x:c>
      <x:c r="D7" s="41" t="n">
        <x:v>0.7999999999999999</x:v>
      </x:c>
      <x:c r="E7" s="56" t="str">
        <x:v>Todos Dom, Eco e Ling em VL ou todos em VH.</x:v>
      </x:c>
    </x:row>
    <x:row r="8">
      <x:c r="A8" s="27" t="str">
        <x:v>AC_original_operacional</x:v>
      </x:c>
      <x:c r="B8" s="41" t="n">
        <x:v>0.1</x:v>
      </x:c>
      <x:c r="C8" s="41" t="n">
        <x:v>0.9</x:v>
      </x:c>
      <x:c r="D8" s="41" t="n">
        <x:v>0.8</x:v>
      </x:c>
      <x:c r="E8" s="56" t="str">
        <x:v>Centróides VL a VH usados pelo surrogate.</x:v>
      </x:c>
    </x:row>
    <x:row r="9">
      <x:c r="A9" s="34" t="str">
        <x:v>AC_comprimido_operacional</x:v>
      </x:c>
      <x:c r="B9" s="58" t="n">
        <x:v>0.3</x:v>
      </x:c>
      <x:c r="C9" s="58" t="n">
        <x:v>0.7</x:v>
      </x:c>
      <x:c r="D9" s="58" t="n">
        <x:v>0.39999999999999997</x:v>
      </x:c>
      <x:c r="E9" s="59" t="str">
        <x:v>Compressao global com centro 0.5 e fator 0.5.</x:v>
      </x:c>
    </x:row>
    <x:row r="10">
      <x:c r="A10" s="46" t="str">
        <x:v>AC_comprimido_teorico_para_entrada_0_a_1</x:v>
      </x:c>
      <x:c r="B10" s="47" t="n">
        <x:v>0.25</x:v>
      </x:c>
      <x:c r="C10" s="47" t="n">
        <x:v>0.75</x:v>
      </x:c>
      <x:c r="D10" s="47" t="n">
        <x:v>0.5</x:v>
      </x:c>
      <x:c r="E10" s="57" t="str">
        <x:v>Limite da transformacao; AC operacional usa 0.1 a 0.9.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7" hidden="0" customWidth="1"/>
    <x:col min="5" max="5" width="28" hidden="0" customWidth="1"/>
  </x:cols>
  <x:sheetData>
    <x:row r="1" ht="26" customHeight="1">
      <x:c r="A1" s="1" t="str">
        <x:v>Sensibilidade local para aumento de 0,10 na entrada</x:v>
      </x:c>
    </x:row>
    <x:row r="2">
      <x:c r="A2" s="3" t="str">
        <x:v>AT é uma média ponderada de Domínio (3/9), Ecossistema (1/9) e Linguagem (5/9); o AC é comprimido pelo fator 0,50.</x:v>
      </x:c>
    </x:row>
    <x:row r="3">
      <x:c r="A3" s="4"/>
      <x:c r="B3" s="4"/>
      <x:c r="C3" s="4"/>
      <x:c r="D3" s="4"/>
      <x:c r="E3" s="4"/>
    </x:row>
    <x:row r="5" ht="32" customHeight="1">
      <x:c r="A5" s="10" t="str">
        <x:v>﻿alteracao</x:v>
      </x:c>
      <x:c r="B5" s="17" t="str">
        <x:v>valor_antes</x:v>
      </x:c>
      <x:c r="C5" s="17" t="str">
        <x:v>valor_depois</x:v>
      </x:c>
      <x:c r="D5" s="17" t="str">
        <x:v>variacao_saida</x:v>
      </x:c>
      <x:c r="E5" s="11" t="str">
        <x:v>formula</x:v>
      </x:c>
    </x:row>
    <x:row r="6">
      <x:c r="A6" s="51" t="str">
        <x:v>Dominio: 0.5 para 0.6</x:v>
      </x:c>
      <x:c r="B6" s="61" t="n">
        <x:v>0.5</x:v>
      </x:c>
      <x:c r="C6" s="61" t="n">
        <x:v>0.5333333333333333</x:v>
      </x:c>
      <x:c r="D6" s="61" t="n">
        <x:v>0.033333333333333326</x:v>
      </x:c>
      <x:c r="E6" s="53" t="str">
        <x:v>peso 3/9</x:v>
      </x:c>
    </x:row>
    <x:row r="7">
      <x:c r="A7" s="27" t="str">
        <x:v>Ecossistema: 0.5 para 0.6</x:v>
      </x:c>
      <x:c r="B7" s="60" t="n">
        <x:v>0.5</x:v>
      </x:c>
      <x:c r="C7" s="60" t="n">
        <x:v>0.5111111111111111</x:v>
      </x:c>
      <x:c r="D7" s="60" t="n">
        <x:v>0.011111111111111072</x:v>
      </x:c>
      <x:c r="E7" s="33" t="str">
        <x:v>peso 1/9</x:v>
      </x:c>
    </x:row>
    <x:row r="8">
      <x:c r="A8" s="27" t="str">
        <x:v>Linguagem: 0.5 para 0.6</x:v>
      </x:c>
      <x:c r="B8" s="60" t="n">
        <x:v>0.5</x:v>
      </x:c>
      <x:c r="C8" s="60" t="n">
        <x:v>0.5555555555555556</x:v>
      </x:c>
      <x:c r="D8" s="60" t="n">
        <x:v>0.05555555555555558</x:v>
      </x:c>
      <x:c r="E8" s="33" t="str">
        <x:v>peso 5/9</x:v>
      </x:c>
    </x:row>
    <x:row r="9">
      <x:c r="A9" s="46" t="str">
        <x:v>AC original: 0.5 para 0.6</x:v>
      </x:c>
      <x:c r="B9" s="62" t="n">
        <x:v>0.5</x:v>
      </x:c>
      <x:c r="C9" s="62" t="n">
        <x:v>0.55</x:v>
      </x:c>
      <x:c r="D9" s="62" t="n">
        <x:v>0.050000000000000044</x:v>
      </x:c>
      <x:c r="E9" s="54" t="str">
        <x:v>fator de compressao 0.5</x:v>
      </x:c>
    </x:row>
  </x:sheetData>
  <x:pageMargins left="0.7" right="0.7" top="0.75" bottom="0.75" header="0.3" footer="0.3"/>
  <x:drawing xmlns:r="http://schemas.openxmlformats.org/officeDocument/2006/relationships" r:id="R77054e9de20d45ec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26" customHeight="1">
      <x:c r="A1" s="1" t="str">
        <x:v>Proveniência e protocolo</x:v>
      </x:c>
    </x:row>
    <x:row r="2">
      <x:c r="A2" s="3" t="str">
        <x:v>Informações suficientes para localizar a execução e reproduzir a leitura dos resultados.</x:v>
      </x:c>
    </x:row>
    <x:row r="3">
      <x:c r="A3" s="4"/>
      <x:c r="B3" s="4"/>
      <x:c r="C3" s="4"/>
      <x:c r="D3" s="4"/>
    </x:row>
    <x:row r="5" ht="32" customHeight="1">
      <x:c r="A5" s="23" t="str">
        <x:v>Campo</x:v>
      </x:c>
      <x:c r="B5" s="44" t="str">
        <x:v>Valor</x:v>
      </x:c>
    </x:row>
    <x:row r="6" ht="32" customHeight="1">
      <x:c r="A6" s="65" t="str">
        <x:v>Data/hora da execução</x:v>
      </x:c>
      <x:c r="B6" s="56" t="str">
        <x:v>2026-09-06 18:21:43 (America/Sao_Paulo)</x:v>
      </x:c>
    </x:row>
    <x:row r="7" ht="32" customHeight="1">
      <x:c r="A7" s="65" t="str">
        <x:v>Script</x:v>
      </x:c>
      <x:c r="B7" s="56" t="str">
        <x:v>C:\projetos\STFP\Experimento_sensibilidade_escalas_AC_AT\testar_sensibilidade_escalas_ac_at.py</x:v>
      </x:c>
    </x:row>
    <x:row r="8" ht="32" customHeight="1">
      <x:c r="A8" s="65" t="str">
        <x:v>Surrogate importado</x:v>
      </x:c>
      <x:c r="B8" s="56" t="str">
        <x:v>C:\projetos\STFP\Algorithms\Surrogate\team_fit_surrogate.py</x:v>
      </x:c>
    </x:row>
    <x:row r="9" ht="32" customHeight="1">
      <x:c r="A9" s="65" t="str">
        <x:v>SHA256 do surrogate</x:v>
      </x:c>
      <x:c r="B9" s="56" t="str">
        <x:v>60d518180450cede478fc27c19349d7d5304a138ef8a7fe83707debd4710a415</x:v>
      </x:c>
    </x:row>
    <x:row r="10" ht="32" customHeight="1">
      <x:c r="A10" s="65" t="str">
        <x:v>Configuração</x:v>
      </x:c>
      <x:c r="B10" s="56" t="str">
        <x:v>w_dom=3; w_eco=1; w_ling=5; MIXMINMAX(5,1); compressão AC=0,5; sigma_ae=0,15</x:v>
      </x:c>
    </x:row>
    <x:row r="11" ht="32" customHeight="1">
      <x:c r="A11" s="65" t="str">
        <x:v>Pasta de resultados</x:v>
      </x:c>
      <x:c r="B11" s="56" t="str">
        <x:v>C:\projetos\STFP\Experimento_sensibilidade_escalas_AC_AT\resultados\20260906_182143_227368</x:v>
      </x:c>
    </x:row>
    <x:row r="12" ht="32" customHeight="1">
      <x:c r="A12" s="65" t="str">
        <x:v>Escopo</x:v>
      </x:c>
      <x:c r="B12" s="56" t="str">
        <x:v>Teste isolado da transformação e das escalas genéricas</x:v>
      </x:c>
    </x:row>
    <x:row r="13" ht="32" customHeight="1">
      <x:c r="A13" s="66" t="str">
        <x:v>Limitação</x:v>
      </x:c>
      <x:c r="B13" s="67" t="str">
        <x:v>Não executa GA, não usa projetos reais e não mede limites estruturais de AT por projeto</x:v>
      </x:c>
    </x:row>
    <x:row r="15" ht="32" customHeight="1">
      <x:c r="A15" s="23" t="str">
        <x:v>Log integral da execução</x:v>
      </x:c>
      <x:c r="B15" s="44" t="str">
        <x:v>Conteúdo</x:v>
      </x:c>
    </x:row>
    <x:row r="16" ht="240" customHeight="1">
      <x:c r="A16" s="68" t="str">
        <x:v>execucao.log</x:v>
      </x:c>
      <x:c r="B16" s="69" t="str">
        <x:v>EXPERIMENTO DE SENSIBILIDADE DAS ESCALAS AT E AC
Nao executa GA, nao usa projetos reais e nao modifica o avaliador.
Surrogate importado de: C:\projetos\STFP\Algorithms\Surrogate\team_fit_surrogate.py
SHA256 do surrogate: 60d518180450cede478fc27c19349d7d5304a138ef8a7fe83707debd4710a415
Configuracao carregada: TeamFitSurrogate(w_dom=3, w_eco=1, w_ling=5, AE=MIXMINMAX(w_min=5, w_max=1), AC_compression=0.5, sigma_ae=0.15)
1. VALIDACAO DA COMPRESSAO NO SURROGATE REAL
Formula esperada: AC' = 0.5 + 0.5 * (AC - 0.5)
AT foi fixado em 0.5 apenas para completar a chamada do avaliador.
VL: AC original=0.1000 | AC comprimido=0.3000 | esperado=0.3000 | OK
L: AC original=0.3000 | AC comprimido=0.4000 | esperado=0.4000 | OK
M: AC original=0.5000 | AC comprimido=0.5000 | esperado=0.5000 | OK
H: AC original=0.7000 | AC comprimido=0.6000 | esperado=0.6000 | OK
VH: AC original=0.9000 | AC comprimido=0.7000 | esperado=0.7000 | OK
2. PROPRIEDADES CONFERIDAS
Ordem VL &lt; L &lt; M &lt; H &lt; VH preservada: OK
Ponto central 0.5 preservado: OK
Amplitude operacional original: 0.8000 (0.10 ate 0.90)
Amplitude operacional comprimida: 0.4000 (0.30 ate 0.70)
Reducao da amplitude pela metade: OK
3. RESUMO DAS ESCALAS GENERICAS
AT_teorico_com_entradas_0_a_1: min=0.0000 | max=1.0000 | amplitude=1.0000
AT_com_tres_entradas_nos_centroides: min=0.1000 | max=0.9000 | amplitude=0.8000
AC_original_operacional: min=0.1000 | max=0.9000 | amplitude=0.8000
AC_comprimido_operacional: min=0.3000 | max=0.7000 | amplitude=0.4000
AC_comprimido_teorico_para_entrada_0_a_1: min=0.2500 | max=0.7500 | amplitude=0.5000
4. SENSIBILIDADE LOCAL PARA AUMENTO DE 0.1 NA ENTRADA
Dominio: 0.5 para 0.6: variacao=0.033333
Ecossistema: 0.5 para 0.6: variacao=0.011111
Linguagem: 0.5 para 0.6: variacao=0.055556
AC original: 0.5 para 0.6: variacao=0.050000
CONCLUIDO: todos os testes passaram.
Resultados salvos em: C:\projetos\STFP\Experimento_sensibilidade_escalas_AC_AT\resultados\20260906_182143_227368
LIMITACAO:
Este teste valida a transformacao e as escalas genericas. Ele nao mede os limites estruturais de AT dos 16 projetos.
Para limites por projeto, use o experimento Experimento_TESTE_RANGE_DIMENSION_SCORING_20260903.
</x:v>
      </x:c>
    </x:row>
  </x:sheetData>
  <x:pageMargins left="0.7" right="0.7" top="0.75" bottom="0.75" header="0.3" footer="0.3"/>
</x:worksheet>
</file>
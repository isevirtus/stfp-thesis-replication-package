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Devs" sheetId="2" r:id="rId6"/>
    <sheet state="visible" name="Projetos" sheetId="3" r:id="rId7"/>
    <sheet state="visible" name="Ranking_Expert" sheetId="4" r:id="rId8"/>
    <sheet state="visible" name="Expert_x_BN" sheetId="5" r:id="rId9"/>
    <sheet state="hidden" name="Detaild Disagreements" sheetId="6" r:id="rId10"/>
    <sheet state="visible" name="Disagreements Decision" sheetId="7" r:id="rId11"/>
    <sheet state="visible" name="Resumo" sheetId="8" r:id="rId12"/>
    <sheet state="visible" name="dados_para_dashboard" sheetId="9" r:id="rId13"/>
    <sheet state="visible" name="Métricas_Ranking" sheetId="10" r:id="rId14"/>
  </sheets>
  <definedNames>
    <definedName name="ListaDev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Domínio: Web, Embedded, Hardware
Ecossistema: Node.js, PCB
Linguagens: JavaScript, C, C++
Match (requisitos do projeto):
DOM: M (2/2)[hardware, embedded] S (0/1)[] C (0/1)[]
ECO: M (1/2)[pcb] S (0/1)[] C (0/2)[]
LING: M (1/1)[c] S (1/1)[c++] C (0/1)[]
Colaboração (somente com membros desta equipe):
242-93: SEM_COMUM
242-168: SEM_COMUM
242-446: SEM_COMUM</t>
      </text>
    </comment>
    <comment authorId="0" ref="E34">
      <text>
        <t xml:space="preserve">Domínio: Mobile, IoT
Ecossistema: Android, Eletrônica (circuitos lógicos e analógicos)
Linguagens: Kotlin
Match (requisitos do projeto):
DOM: M (0/2)[] S (1/1)[iot] C (0/1)[]
ECO: M (0/2)[] S (1/1)[eletrônica (circuitos lógicos e analógicos)] C (0/2)[]
LING: M (0/1)[] S (0/1)[] C (0/1)[]
Colaboração (somente com membros desta equipe [Dev242, Dev168, Dev446, Dev93]):
168-242: SEM_COMUM
168-446: SEM_COMUM
168-93: SEM_COMUM</t>
      </text>
    </comment>
    <comment authorId="0" ref="F34">
      <text>
        <t xml:space="preserve">Domínio: Mobile
Ecossistema: Android, Desenvolvimento de Placa, Prototipação
Linguagens: Kotlin
Match (requisitos do projeto):
DOM: M (0/2)[] S (0/1)[] C (0/1)[]
ECO: M (1/2)[desenvolvimento de placa] S (0/1)[] C (1/2)[prototipação]
LING: M (0/1)[] S (0/1)[] C (0/1)[]
Colaboração (somente com membros desta equipe):
446-93: SEM_COMUM
446-168: SEM_COMUM
446-242: SEM_COMUM</t>
      </text>
    </comment>
    <comment authorId="0" ref="G34">
      <text>
        <t xml:space="preserve">Domínio: Desktop, Cloud
Ecossistema: .NET, Instrumentação (osciloscópio, analisador lógico)
Linguagens: C#, Python
Match (requisitos do projeto):
DOM: M (0/2)[] S (0/1)[] C (1/1)[cloud]
ECO: M (0/2)[] S (0/1)[] C (1/2)[instrumentação (osciloscópio, analisador lógico)]
LING: M (0/1)[] S (0/1)[] C (1/1)[python]
Colaboração (somente com membros desta equipe):
93-168: SEM_COMUM
93-242: SEM_COMUM
93-446: SEM_COMUM</t>
      </text>
    </comment>
    <comment authorId="0" ref="D26">
      <text>
        <t xml:space="preserve">Domínio: Web
Ecossistema: Vue
Linguagens: JavaScript
Match (requisitos do projeto):
DOM: M (1/2)[web] S (0/1)[] C (0/1)[]
ECO: M (0/3)[] S (0/1)[] C (0/1)[]
LING: M (1/3)[javascript] S (0/2)[] C (0/2)[]
Colaboração (somente com membros desta equipe):
174-169: SEM_COMUM
174-265: SEM_COMUM
174-524: SEM_COMUM</t>
      </text>
    </comment>
    <comment authorId="0" ref="E26">
      <text>
        <t xml:space="preserve">Domínio: Web
Ecossistema: Spring Boot
Linguagens: Java
Match (requisitos do projeto):
DOM: M (1/2)[web] S (0/1)[] C (0/1)[]
ECO: M (0/3)[] S (0/1)[] C (0/1)[]
LING: M (0/3)[] S (1/2)[java] C (0/2)[]
Colaboração (somente com membros desta equipe):
265-169: SEM_COMUM
265-174: SEM_COMUM
265-524: SEM_COMUM</t>
      </text>
    </comment>
    <comment authorId="0" ref="F26">
      <text>
        <t xml:space="preserve">Domínio: Desktop
Ecossistema: .NET
Linguagens: C#
Match (requisitos do projeto):
DOM: M (0/2)[] S (0/1)[] C (1/1)[desktop]
ECO: M (0/3)[] S (1/1)[.net] C (0/1)[]
LING: M (0/3)[] S (1/2)[c#] C (0/2)[]
Colaboração (somente com membros desta equipe):
524-169: SEM_COMUM
524-174: SEM_COMUM
524-265: SEM_COMUM</t>
      </text>
    </comment>
    <comment authorId="0" ref="G26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169-174: SEM_COMUM
169-265: SEM_COMUM
169-524: SEM_COMUM</t>
      </text>
    </comment>
    <comment authorId="0" ref="D18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439-16: SEM_COMUM
439-209: SEM_COMUM
439-463: SEM_COMUM</t>
      </text>
    </comment>
    <comment authorId="0" ref="E18">
      <text>
        <t xml:space="preserve">Domínio: nan
Ecossistema: iOS/iPadOS
Linguagens: nan
Match (requisitos do projeto):
DOM: M (0/2)[] S (0/1)[] C (0/1)[]
ECO: M (0/1)[] S (0/3)[] C (0/1)[]
LING: M (0/2)[] S (0/1)[] C (0/2)[]
Colaboração (somente com membros desta equipe):
16-209: SEM_COMUM
16-439: SEM_COMUM
16-463: SEM_COMUM</t>
      </text>
    </comment>
    <comment authorId="0" ref="U1">
      <text>
        <t xml:space="preserve">A equipe cobriu 100% de TODOS os MUST?</t>
      </text>
    </comment>
    <comment authorId="0" ref="F18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209-16: SEM_COMUM
209-439: SEM_COMUM
209-463: SEM_COMUM</t>
      </text>
    </comment>
    <comment authorId="0" ref="V1">
      <text>
        <t xml:space="preserve">O que está faltando nos MUST (em número)?</t>
      </text>
    </comment>
    <comment authorId="0" ref="G18">
      <text>
        <t xml:space="preserve">Domínio: Web
Ecossistema: Vue
Linguagens: JavaScript
Match (requisitos do projeto):
DOM: M (0/2)[] S (1/1)[web] C (0/1)[]
ECO: M (0/1)[] S (0/3)[] C (0/1)[]
LING: M (0/2)[] S (1/1)[javascript] C (0/2)[]
Colaboração (somente com membros desta equipe):
463-16: SEM_COMUM
463-209: SEM_COMUM
463-439: SEM_COMUM</t>
      </text>
    </comment>
    <comment authorId="0" ref="D10">
      <text>
        <t xml:space="preserve">Domínio: Web
Ecossistema: Node.js
Linguagens: JavaScript
Match (requisitos do projeto):
DOM: M (0/1)[] S (1/1)[web] C (0/1)[]
ECO: M (0/2)[] S (0/1)[] C (0/1)[]
LING: M (0/2)[] S (1/2)[javascript] C (0/2)[]
Colaboração (somente com membros desta equipe):
115-119: SEM_COMUM
115-193: SEM_COMUM
115-399: SEM_COMUM</t>
      </text>
    </comment>
    <comment authorId="0" ref="E10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119-115: SEM_COMUM
119-193: P82(,osf=0.567,slf=0.737) | 119-399: P82(,osf=0.567,slf=0.737)
119-399: SEM_COMUM</t>
      </text>
    </comment>
    <comment authorId="0" ref="F10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399-115: SEM_COMUM
399-119: P82(,osf=0.567,slf=0.737) | 399-193: P82(,osf=0.567,slf=0.737); P85(,osf=0.784,slf=0.538)
399-193: SEM_COMUM</t>
      </text>
    </comment>
    <comment authorId="0" ref="G10">
      <text>
        <t xml:space="preserve">Domínio: Web
Ecossistema: Spring Boot
Linguagens: Java
Match (requisitos do projeto):
DOM: M (0/1)[] S (1/1)[web] C (0/1)[]
ECO: M (0/2)[] S (0/1)[] C (0/1)[]
LING: M (0/2)[] S (0/2)[] C (1/2)[java]
Colaboração (somente com membros desta equipe):
193-115: SEM_COMUM
193-119: SEM_COMUM
193-399: SEM_COMUM</t>
      </text>
    </comment>
    <comment authorId="0" ref="A2">
      <text>
        <t xml:space="preserve">"DOM  M[Desktop, Web] S[Cloud] C[Mobile]
ECO  M[.NET] S[React] C[MongoDB]
LING M[C#] S[JavaScript, TypeScript] C[Python]"
</t>
      </text>
    </comment>
    <comment authorId="0" ref="D35">
      <text>
        <t xml:space="preserve">Domínio: Web
 Ecossistema: React
 Linguagens: JavaScript
 Match (requisitos do projeto):
 DOM: M (0/2)[] S (0/1)[] C (0/1)[]
 ECO: M (0/2)[] S (0/1)[] C (0/2)[]
 LING: M (0/1)[] S (0/1)[] C (0/1)[]
 Colaboração (somente com membros desta equipe [Dev568, Dev463, Dev7, Dev498]):
 568-463: P184(osf=0.615,slf=0.450); P272(osf=0.487,slf=0.637); P274(osf=0.411,slf=0.591)
 568-7: SEM_COMUM
 568-498: SEM_COMUM</t>
      </text>
    </comment>
    <comment authorId="0" ref="D2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169-27: SEM_COMUM
169-81: SEM_COMUM
169-363: SEM_COMUM</t>
      </text>
    </comment>
    <comment authorId="0" ref="E35">
      <text>
        <t xml:space="preserve">Domínio: Web
 Ecossistema: Vue
 Linguagens: JavaScript
 Match (requisitos do projeto):
 DOM: M (0/2)[] S (0/1)[] C (0/1)[]
 ECO: M (0/2)[] S (0/1)[] C (0/3)[]
 LING: M (0/1)[] S (0/1)[] C (0/1)[]
 Colaboração (somente com membros desta equipe):
 463-7: SEM_COMUM
 463-498: SEM_COMUM
 463-568: SEM_COMUM</t>
      </text>
    </comment>
    <comment authorId="0" ref="E2">
      <text>
        <t xml:space="preserve">Domínio: Web
Ecossistema: nan
Linguagens: JavaScript
Match (requisitos do projeto):
DOM: M (1/2)[web] S (0/1)[] C (0/1)[]
ECO: M (0/1)[] S (0/1)[] C (0/1)[]
LING: M (0/1)[] S (1/2)[javascript] C (0/1)[]
Colaboração (somente com membros desta equipe):
27-81: SEM_COMUM
27-169: SEM_COMUM
27-363: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</t>
      </text>
    </comment>
    <comment authorId="0" ref="F35">
      <text>
        <t xml:space="preserve">Domínio: Web
 Ecossistema: React
 Linguagens: JavaScript
 Match (requisitos do projeto):
 DOM: M (0/2)[] S (0/1)[] C (0/1)[]
 ECO: M (0/2)[] S (0/1)[] C (0/3)[]
 LING: M (0/1)[] S (0/1)[] C (0/1)[]
 Colaboração (somente com membros desta equipe):
 7-463: SEM_COMUM
 7-498: SEM_COMUM
 7-568: SEM_COMUM</t>
      </text>
    </comment>
    <comment authorId="0" ref="F2">
      <text>
        <t xml:space="preserve">Domínio: IoT
Ecossistema: nan
Linguagens: JavaScript
Match (requisitos do projeto):
DOM: M (0/2)[] S (0/1)[] C (0/1)[]
ECO: M (0/1)[] S (0/1)[] C (0/1)[]
LING: M (0/1)[] S (1/2)[javascript] C (0/1)[]
Colaboração (somente com membros desta equipe):
81-27: SEM_COMUM
81-169: SEM_COMUM
81-363: SEM_COMUM</t>
      </text>
    </comment>
    <comment authorId="0" ref="G35">
      <text>
        <t xml:space="preserve">Domínio: Mobile
 Ecossistema: Android
 Linguagens: Kotlin
 Match (requisitos do projeto):
 DOM: M (0/2)[] S (0/1)[] C (0/1)[]
 ECO: M (0/2)[] S (0/1)[] C (0/2)[]
 LING: M (0/1)[] S (1/1)[kotlin] C (0/1)[]
 Colaboração (somente com membros desta equipe [Dev568, Dev463, Dev7, Dev498]):
 498-568: SEM_COMUM
 498-463: P85(osf=0.784,slf=0.538); P82(osf=0.567,slf=0.737)
 498-7: P85(osf=0.784,slf=0.538); P82(osf=0.567,slf=0.737)</t>
      </text>
    </comment>
    <comment authorId="0" ref="G2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363-27: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 | 363-447: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 | 363-544: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
363-81: SEM_COMUM
363-169: SEM_COMUM</t>
      </text>
    </comment>
    <comment authorId="0" ref="D27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438-297: SEM_COMUM
438-461: SEM_COMUM
438-558: SEM_COMUM</t>
      </text>
    </comment>
    <comment authorId="0" ref="E27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558-297: SEM_COMUM
558-438: P85(,osf=0.784,slf=0.538) | 558-461: P183(,osf=0.476,slf=0.842); P184(,osf=0.615,slf=0.450); P188(,osf=0.655,slf=0.631); P219(,osf=0.351,slf=0.534); P269(,osf=0.400,slf=0.408); P274(,osf=0.411,slf=0.591)
558-461: SEM_COMUM</t>
      </text>
    </comment>
    <comment authorId="0" ref="F27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461-297: SEM_COMUM
461-438: SEM_COMUM
461-558: P183(,osf=0.476,slf=0.842); P184(,osf=0.615,slf=0.450); P188(,osf=0.655,slf=0.631); P219(,osf=0.351,slf=0.534); P269(,osf=0.400,slf=0.408); P274(,osf=0.411,slf=0.591)</t>
      </text>
    </comment>
    <comment authorId="0" ref="G27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297-438: SEM_COMUM
297-461: SEM_COMUM
297-558: SEM_COMUM</t>
      </text>
    </comment>
    <comment authorId="0" ref="D11">
      <text>
        <t xml:space="preserve">Domínio: Cloud
Ecossistema: AWS Lambda
Linguagens: Python
Match (requisitos do projeto):
DOM: M (0/1)[] S (0/1)[] C (1/1)[cloud]
ECO: M (0/2)[] S (0/1)[] C (0/1)[]
LING: M (0/2)[] S (0/2)[] C (0/2)[]
Colaboração (somente com membros desta equipe):
468-5: P82(,osf=0.567,slf=0.737) | 468-508: P196(,osf=0.888,slf=0.339) | 468-516: P82(,osf=0.567,slf=0.737); P85(,osf=0.784,slf=0.538)
468-263: SEM_COMUM
468-503: SEM_COMUM</t>
      </text>
    </comment>
    <comment authorId="0" ref="E11">
      <text>
        <t xml:space="preserve">Domínio: Web
Ecossistema: Vue
Linguagens: JavaScript
Match (requisitos do projeto):
DOM: M (0/1)[] S (1/1)[web] C (0/1)[]
ECO: M (0/2)[] S (0/1)[] C (0/1)[]
LING: M (0/2)[] S (1/2)[javascript] C (0/2)[]
Colaboração (somente com membros desta equipe):
263-5: P179(,osf=0.489,slf=0.711) | 263-145: P179(,osf=0.489,slf=0.711); P201(,osf=0.535,slf=0.596)
263-468: SEM_COMUM
263-503: SEM_COMUM</t>
      </text>
    </comment>
    <comment authorId="0" ref="F11">
      <text>
        <t xml:space="preserve">Domínio: Web
Ecossistema: React
Linguagens: JavaScript
Match (requisitos do projeto):
DOM: M (0/1)[] S (1/1)[web] C (0/1)[]
ECO: M (0/2)[] S (1/1)[react] C (0/1)[]
LING: M (0/2)[] S (1/2)[javascript] C (0/2)[]
Colaboração (somente com membros desta equipe):
503-5: P145(,osf=0.612,slf=0.871); P177(,osf=0.340,slf=0.621); P213(,osf=0.312,slf=0.608); P216(,osf=0.401,slf=0.341); P279(,osf=0.594,slf=0.422) | 503-411: P145(,osf=0.612,slf=0.871); P177(,osf=0.340,slf=0.621); P284(,osf=0.383,slf=0.553)
503-263: SEM_COMUM
503-468: SEM_COMUM</t>
      </text>
    </comment>
    <comment authorId="0" ref="G11">
      <text>
        <t xml:space="preserve">Domínio: Mobile
Ecossistema: Android
Linguagens: Kotlin
Match (requisitos do projeto):
DOM: M (1/1)[mobile] S (0/1)[] C (0/1)[]
ECO: M (1/2)[android] S (0/1)[] C (0/1)[]
LING: M (1/2)[kotlin] S (0/2)[] C (0/2)[]
Colaboração (somente com membros desta equipe):
5-263: P179(,osf=0.489,slf=0.711) | 5-468: P82(,osf=0.567,slf=0.737) | 5-503: P145(,osf=0.612,slf=0.871); P177(,osf=0.340,slf=0.621); P213(,osf=0.312,slf=0.608); P216(,osf=0.401,slf=0.341); P279(,osf=0.594,slf=0.422)
5-468: SEM_COMUM
5-503: SEM_COMUM</t>
      </text>
    </comment>
    <comment authorId="0" ref="D36">
      <text>
        <t xml:space="preserve">Domínio: Web
 Ecossistema: Spring Boot
 Linguagens: Java
 Match (requisitos do projeto):
 DOM: M (0/2)[] S (0/1)[] C (0/1)[]
 ECO: M (0/2)[] S (0/1)[] C (0/2)[]
 LING: M (0/1)[] S (0/1)[] C (0/1)[]
 Colaboração (somente com membros desta equipe [Dev498, Dev67, Dev94, Dev291]):
 67-498: SEM_COMUM
 67-94: SEM_COMUM
 67-291: SEM_COMUM</t>
      </text>
    </comment>
    <comment authorId="0" ref="E36">
      <text>
        <t xml:space="preserve">Domínio: Web
 Ecossistema: Vue
 Linguagens: JavaScript
 Match (requisitos do projeto):
 DOM: M (0/2)[] S (0/1)[] C (0/1)[]
 ECO: M (0/2)[] S (0/1)[] C (0/2)[]
 LING: M (0/1)[] S (0/1)[] C (0/1)[]
 Colaboração (somente com membros desta equipe [Dev498, Dev67, Dev94, Dev291]):
 94-498: SEM_COMUM
 94-67: SEM_COMUM
 94-291: P82(osf=0.567,slf=0.737)</t>
      </text>
    </comment>
    <comment authorId="0" ref="F36">
      <text>
        <t xml:space="preserve">Domínio: Desktop
 Ecossistema: .NET
 Linguagens: C#
 Match (requisitos do projeto):
 DOM: M (0/2)[] S (0/1)[] C (0/1)[]
 ECO: M (0/2)[] S (0/1)[] C (0/2)[]
 LING: M (0/1)[] S (0/1)[] C (0/1)[]
 Colaboração (somente com membros desta equipe [Dev498, Dev67, Dev94, Dev291]):
 291-498: SEM_COMUM
 291-67: SEM_COMUM
 291-94: P82(osf=0.567,slf=0.737)</t>
      </text>
    </comment>
    <comment authorId="0" ref="G36">
      <text>
        <t xml:space="preserve">Domínio: Desktop
 Ecossistema: .NET
 Linguagens: C#
 Match (requisitos do projeto):
 DOM: M (0/2)[] S (0/1)[] C (0/1)[]
 ECO: M (0/2)[] S (0/1)[] C (0/3)[]
 LING: M (0/1)[] S (0/1)[] C (0/1)[]
 Colaboração (somente com membros desta equipe):
 450-67: SEM_COMUM
 450-94: SEM_COMUM
 450-291: SEM_COMUM</t>
      </text>
    </comment>
    <comment authorId="0" ref="D28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324-250: SEM_COMUM
324-370: SEM_COMUM
324-439: SEM_COMUM</t>
      </text>
    </comment>
    <comment authorId="0" ref="E28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439-250: SEM_COMUM
439-324: SEM_COMUM
439-370: SEM_COMUM</t>
      </text>
    </comment>
    <comment authorId="0" ref="F28">
      <text>
        <t xml:space="preserve">Domínio: Mobile
Ecossistema: iOS/iPadOS
Linguagens: Swift
Match (requisitos do projeto):
DOM: M (0/2)[] S (1/1)[mobile] C (0/1)[]
ECO: M (0/3)[] S (0/1)[] C (0/1)[]
LING: M (0/3)[] S (0/2)[] C (1/2)[swift]
Colaboração (somente com membros desta equipe):
370-250: SEM_COMUM
370-324: SEM_COMUM
370-439: SEM_COMUM</t>
      </text>
    </comment>
    <comment authorId="0" ref="G28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250-324: SEM_COMUM
250-370: SEM_COMUM
250-439: SEM_COMUM</t>
      </text>
    </comment>
    <comment authorId="0" ref="A20">
      <text>
        <t xml:space="preserve">"DOM  M[Web] S[Cloud] C[Desktop]
ECO  M[MongoDB] S[Angular, React] C[AWS Lambda]
LING M[JavaScript] S[TypeScript, Python] C[Java, C#]"
</t>
      </text>
    </comment>
    <comment authorId="0" ref="D20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263-241: SEM_COMUM
263-303: SEM_COMUM
263-548: SEM_COMUM</t>
      </text>
    </comment>
    <comment authorId="0" ref="E20">
      <text>
        <t xml:space="preserve">Domínio: Web
Ecossistema: Node.js
Linguagens: JavaScript
Match (requisitos do projeto):
DOM: M (1/1)[web] S (0/1)[] C (0/1)[]
ECO: M (0/1)[] S (0/2)[] C (0/1)[]
LING: M (1/1)[javascript] S (0/2)[] C (0/2)[]
Colaboração (somente com membros desta equipe):
241-263: SEM_COMUM
241-303: SEM_COMUM
241-548: SEM_COMUM</t>
      </text>
    </comment>
    <comment authorId="0" ref="F20">
      <text>
        <t xml:space="preserve">Domínio: Desktop
Ecossistema: .NET
Linguagens: C#
Match (requisitos do projeto):
DOM: M (0/1)[] S (0/1)[] C (1/1)[desktop]
ECO: M (0/1)[] S (0/2)[] C (0/1)[]
LING: M (0/1)[] S (0/2)[] C (1/2)[c#]
Colaboração (somente com membros desta equipe):
303-241: SEM_COMUM
303-263: SEM_COMUM
303-548: SEM_COMUM</t>
      </text>
    </comment>
    <comment authorId="0" ref="G20">
      <text>
        <t xml:space="preserve">Domínio: Mobile
Ecossistema: iOS/iPadOS
Linguagens: Swift
Match (requisitos do projeto):
DOM: M (0/1)[] S (0/1)[] C (0/1)[]
ECO: M (0/1)[] S (0/2)[] C (0/1)[]
LING: M (0/1)[] S (0/2)[] C (0/2)[]
Colaboração (somente com membros desta equipe):
548-241: SEM_COMUM
548-263: SEM_COMUM
548-303: SEM_COMUM</t>
      </text>
    </comment>
    <comment authorId="0" ref="D12">
      <text>
        <t xml:space="preserve">Domínio: Mobile
Ecossistema: Android
Linguagens: Kotlin
Match (requisitos do projeto):
DOM: M (1/1)[mobile] S (0/1)[] C (0/1)[]
ECO: M (1/2)[android] S (0/1)[] C (0/1)[]
LING: M (1/2)[kotlin] S (0/2)[] C (0/2)[]
Colaboração (somente com membros desta equipe):
104-81: P69(,osf=0.478,slf=0.301)
104-363: SEM_COMUM
104-544: SEM_COMUM</t>
      </text>
    </comment>
    <comment authorId="0" ref="E12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363-81: SEM_COMUM
363-104: SEM_COMUM
363-544: SEM_COMUM</t>
      </text>
    </comment>
    <comment authorId="0" ref="F12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544-81: SEM_COMUM
544-104: SEM_COMUM
544-363: SEM_COMUM</t>
      </text>
    </comment>
    <comment authorId="0" ref="G12">
      <text>
        <t xml:space="preserve">Domínio: IoT
Ecossistema: nan
Linguagens: JavaScript
Match (requisitos do projeto):
DOM: M (0/1)[] S (0/1)[] C (0/1)[]
ECO: M (0/2)[] S (0/1)[] C (0/1)[]
LING: M (0/2)[] S (1/2)[javascript] C (0/2)[]
Colaboração (somente com membros desta equipe):
81-104: P69(,osf=0.478,slf=0.301)
81-363: SEM_COMUM
81-544: SEM_COMUM</t>
      </text>
    </comment>
    <comment authorId="0" ref="D4">
      <text>
        <t xml:space="preserve">Domínio: Mobile
Ecossistema: Android
Linguagens: Kotlin
Match (requisitos do projeto):
DOM: M (0/2)[] S (0/1)[] C (1/1)[mobile]
ECO: M (0/1)[] S (0/1)[] C (0/1)[]
LING: M (0/1)[] S (0/2)[] C (0/1)[]
Colaboração (somente com membros desta equipe):
205-363: SEM_COMUM
205-447: SEM_COMUM
205-526: P139(,osf=0.325,slf=0.436)</t>
      </text>
    </comment>
    <comment authorId="0" ref="E4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526-205: P139(,osf=0.325,slf=0.436)
526-363: SEM_COMUM
526-447: SEM_COMUM</t>
      </text>
    </comment>
    <comment authorId="0" ref="F4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363-205: SEM_COMUM
363-447: SEM_COMUM
363-526: SEM_COMUM</t>
      </text>
    </comment>
    <comment authorId="0" ref="G4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447-205: SEM_COMUM
447-363: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
447-526: SEM_COMUM</t>
      </text>
    </comment>
    <comment authorId="0" ref="D29">
      <text>
        <t xml:space="preserve">Domínio: Mobile
Ecossistema: iOS/iPadOS
Linguagens: Swift
Match (requisitos do projeto):
DOM: M (0/2)[] S (1/1)[mobile] C (0/1)[]
ECO: M (0/3)[] S (0/1)[] C (0/1)[]
LING: M (0/3)[] S (0/2)[] C (1/2)[swift]
Colaboração (somente com membros desta equipe):
331-36: SEM_COMUM
331-181: SEM_COMUM
331-494: SEM_COMUM</t>
      </text>
    </comment>
    <comment authorId="0" ref="E29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36-181: P82(,osf=0.567,slf=0.737)
36-331: SEM_COMUM
36-494: SEM_COMUM</t>
      </text>
    </comment>
    <comment authorId="0" ref="F29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181-36: P82(,osf=0.567,slf=0.737)
181-331: SEM_COMUM
181-494: SEM_COMUM</t>
      </text>
    </comment>
    <comment authorId="0" ref="G29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494-36: SEM_COMUM
494-181: SEM_COMUM
494-331: SEM_COMUM</t>
      </text>
    </comment>
    <comment authorId="0" ref="D21">
      <text>
        <t xml:space="preserve">Domínio: IoT, Web
Ecossistema: iOS/iPadOS
Linguagens: JSON, JavaScript
Match (requisitos do projeto):
DOM: M (1/1)[web] S (0/1)[] C (0/1)[]
ECO: M (0/1)[] S (0/2)[] C (0/1)[]
LING: M (1/1)[javascript] S (0/2)[] C (0/2)[]
Colaboração (somente com membros desta equipe):
145-38: SEM_COMUM
145-225: SEM_COMUM
145-263: P179(,osf=0.489,slf=0.711); P201(,osf=0.535,slf=0.596)</t>
      </text>
    </comment>
    <comment authorId="0" ref="E21">
      <text>
        <t xml:space="preserve">Domínio: Web
Ecossistema: iOS/iPadOS
Linguagens: nan
Match (requisitos do projeto):
DOM: M (1/1)[web] S (0/1)[] C (0/1)[]
ECO: M (0/1)[] S (0/2)[] C (0/1)[]
LING: M (0/1)[] S (0/2)[] C (0/2)[]
Colaboração (somente com membros desta equipe):
38-145: SEM_COMUM
38-225: P82(,osf=0.567,slf=0.737)
38-263: SEM_COMUM</t>
      </text>
    </comment>
    <comment authorId="0" ref="F21">
      <text>
        <t xml:space="preserve">Domínio: Web
Ecossistema: React
Linguagens: JavaScript
Match (requisitos do projeto):
DOM: M (1/1)[web] S (0/1)[] C (0/1)[]
ECO: M (0/1)[] S (1/2)[react] C (0/1)[]
LING: M (1/1)[javascript] S (0/2)[] C (0/2)[]
Colaboração (somente com membros desta equipe):
225-38: P82(,osf=0.567,slf=0.737)
225-145: SEM_COMUM
225-263: SEM_COMUM</t>
      </text>
    </comment>
    <comment authorId="0" ref="G21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263-38: SEM_COMUM
263-145: SEM_COMUM
263-225: SEM_COMUM</t>
      </text>
    </comment>
    <comment authorId="0" ref="D5">
      <text>
        <t xml:space="preserve">Domínio: nan
Ecossistema: Android, CouchDB, iOS/iPadOS
Linguagens: JavaScript
Match (requisitos do projeto):
DOM: M (0/2)[] S (0/1)[] C (0/1)[]
ECO: M (0/1)[] S (0/1)[] C (0/1)[]
LING: M (0/1)[] S (1/2)[javascript] C (0/1)[]
Colaboração (somente com membros desta equipe):
33-93: SEM_COMUM
33-270: SEM_COMUM
33-303: SEM_COMUM</t>
      </text>
    </comment>
    <comment authorId="0" ref="E5">
      <text>
        <t xml:space="preserve">Domínio: Desktop
Ecossistema: .NET
Linguagens: C#
Match (requisitos do projeto):
DOM: M (1/2)[desktop] S (0/1)[] C (0/1)[]
ECO: M (1/1)[.net] S (0/1)[] C (0/1)[]
LING: M (1/1)[c#] S (0/2)[] C (0/1)[]
Colaboração (somente com membros desta equipe):
303-33: SEM_COMUM
303-93: SEM_COMUM
303-270: SEM_COMUM</t>
      </text>
    </comment>
    <comment authorId="0" ref="F5">
      <text>
        <t xml:space="preserve">Domínio: Web
Ecossistema: Angular
Linguagens: TypeScript
Match (requisitos do projeto):
DOM: M (1/2)[web] S (0/1)[] C (0/1)[]
ECO: M (0/1)[] S (0/1)[] C (0/1)[]
LING: M (0/1)[] S (1/2)[typescript] C (0/1)[]
Colaboração (somente com membros desta equipe):
270-33: SEM_COMUM
270-93: P82(,osf=0.567,slf=0.737) | 270-411: P82(,osf=0.567,slf=0.737) | 270-438: P82(,osf=0.567,slf=0.737)
270-303: SEM_COMUM</t>
      </text>
    </comment>
    <comment authorId="0" ref="G5">
      <text>
        <t xml:space="preserve">Domínio: Desktop
Ecossistema: .NET
Linguagens: C#
Match (requisitos do projeto):
DOM: M (1/2)[desktop] S (0/1)[] C (0/1)[]
ECO: M (1/1)[.net] S (0/1)[] C (0/1)[]
LING: M (1/1)[c#] S (0/2)[] C (0/1)[]
Colaboração (somente com membros desta equipe):
93-33: SEM_COMUM
93-270: P82(,osf=0.567,slf=0.737) | 93-292: P82(,osf=0.567,slf=0.737) | 93-437: P158(,osf=0.670,slf=0.322); P82(,osf=0.567,slf=0.737); P85(,osf=0.784,slf=0.538)
93-303: SEM_COMUM</t>
      </text>
    </comment>
    <comment authorId="0" ref="D30">
      <text>
        <t xml:space="preserve">Domínio: Web
Ecossistema: Angular
Linguagens: TypeScript
Match (requisitos do projeto):
DOM: M (1/2)[web] S (0/1)[] C (0/1)[]
ECO: M (0/3)[] S (0/1)[] C (0/1)[]
LING: M (1/3)[typescript] S (0/2)[] C (0/2)[]
Colaboração (somente com membros desta equipe):
479-316: SEM_COMUM
479-357: SEM_COMUM
479-389: SEM_COMUM</t>
      </text>
    </comment>
    <comment authorId="0" ref="E30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389-316: SEM_COMUM
389-357: SEM_COMUM
389-479: SEM_COMUM</t>
      </text>
    </comment>
    <comment authorId="0" ref="F30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357-316: SEM_COMUM
357-389: SEM_COMUM
357-479: SEM_COMUM</t>
      </text>
    </comment>
    <comment authorId="0" ref="G30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316-357: SEM_COMUM
316-389: SEM_COMUM
316-479: SEM_COMUM</t>
      </text>
    </comment>
    <comment authorId="0" ref="D22">
      <text>
        <t xml:space="preserve">Domínio: Web
Ecossistema: Spring Boot
Linguagens: Java
Match (requisitos do projeto):
DOM: M (1/1)[web] S (0/1)[] C (0/1)[]
ECO: M (0/1)[] S (0/2)[] C (0/1)[]
LING: M (0/1)[] S (0/2)[] C (1/2)[java]
Colaboração (somente com membros desta equipe):
193-7: P82(,osf=0.567,slf=0.737); P85(,osf=0.784,slf=0.538) | 193-119: P82(,osf=0.567,slf=0.737) | 193-194: P82(,osf=0.567,slf=0.737); P85(,osf=0.784,slf=0.538) | 193-399: P82(,osf=0.567,slf=0.737); P85(,osf=0.784,slf=0.538)
193-154: SEM_COMUM
193-194: SEM_COMUM</t>
      </text>
    </comment>
    <comment authorId="0" ref="E22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194-7: P40(,osf=0.733,slf=0.373); P82(,osf=0.567,slf=0.737); P85(,osf=0.784,slf=0.538) | 194-193: P82(,osf=0.567,slf=0.737); P85(,osf=0.784,slf=0.538)
194-154: SEM_COMUM
194-193: SEM_COMUM</t>
      </text>
    </comment>
    <comment authorId="0" ref="F22">
      <text>
        <t xml:space="preserve">Domínio: Web
Ecossistema: React
Linguagens: JavaScript
Match (requisitos do projeto):
DOM: M (1/1)[web] S (0/1)[] C (0/1)[]
ECO: M (0/1)[] S (1/2)[react] C (0/1)[]
LING: M (1/1)[javascript] S (0/2)[] C (0/2)[]
Colaboração (somente com membros desta equipe):
7-154: SEM_COMUM
7-193: P82(,osf=0.567,slf=0.737); P85(,osf=0.784,slf=0.538) | 7-194: P40(,osf=0.733,slf=0.373); P82(,osf=0.567,slf=0.737); P85(,osf=0.784,slf=0.538)
7-194: SEM_COMUM</t>
      </text>
    </comment>
    <comment authorId="0" ref="G22">
      <text>
        <t xml:space="preserve">Domínio: Cloud
Ecossistema: AWS Lambda
Linguagens: Python
Match (requisitos do projeto):
DOM: M (0/1)[] S (1/1)[cloud] C (0/1)[]
ECO: M (0/1)[] S (0/2)[] C (1/1)[aws lambda]
LING: M (0/1)[] S (1/2)[python] C (0/2)[]
Colaboração (somente com membros desta equipe):
154-7: SEM_COMUM
154-193: SEM_COMUM
154-194: SEM_COMUM</t>
      </text>
    </comment>
    <comment authorId="0" ref="A14">
      <text>
        <t xml:space="preserve">"DOM  M[IoT, Cloud] S[Web] C[Desktop]
ECO  M[AWS Lambda] S[React, Angular, MongoDB] C[Android]
LING M[Python, C++] S[JavaScript] C[Java, TypeScript]"
</t>
      </text>
    </comment>
    <comment authorId="0" ref="D14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423-391: SEM_COMUM
423-494: SEM_COMUM
423-558: P85(,osf=0.784,slf=0.538)</t>
      </text>
    </comment>
    <comment authorId="0" ref="E14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558-391: SEM_COMUM
558-423: SEM_COMUM
558-494: SEM_COMUM</t>
      </text>
    </comment>
    <comment authorId="0" ref="F14">
      <text>
        <t xml:space="preserve">Domínio: Cloud
Ecossistema: AWS Lambda
Linguagens: Python
Match (requisitos do projeto):
DOM: M (1/2)[cloud] S (0/1)[] C (0/1)[]
ECO: M (1/1)[aws lambda] S (0/3)[] C (0/1)[]
LING: M (1/2)[python] S (0/1)[] C (0/2)[]
Colaboração (somente com membros desta equipe):
494-391: SEM_COMUM
494-423: SEM_COMUM
494-558: SEM_COMUM</t>
      </text>
    </comment>
    <comment authorId="0" ref="G14">
      <text>
        <t xml:space="preserve">Domínio: Cloud
Ecossistema: AWS Lambda
Linguagens: Python
Match (requisitos do projeto):
DOM: M (1/2)[cloud] S (0/1)[] C (0/1)[]
ECO: M (1/1)[aws lambda] S (0/3)[] C (0/1)[]
LING: M (1/2)[python] S (0/1)[] C (0/2)[]
Colaboração (somente com membros desta equipe):
391-423: SEM_COMUM
391-494: SEM_COMUM
391-558: SEM_COMUM</t>
      </text>
    </comment>
    <comment authorId="0" ref="D6">
      <text>
        <t xml:space="preserve">Domínio: Web
Ecossistema: Node.js
Linguagens: JavaScript
Match (requisitos do projeto):
DOM: M (1/2)[web] S (0/1)[] C (0/1)[]
ECO: M (0/1)[] S (0/1)[] C (0/1)[]
LING: M (0/1)[] S (1/2)[javascript] C (0/1)[]
Colaboração (somente com membros desta equipe):
316-308: SEM_COMUM
316-389: SEM_COMUM
316-526: SEM_COMUM</t>
      </text>
    </comment>
    <comment authorId="0" ref="E6">
      <text>
        <t xml:space="preserve">Domínio: Mobile
Ecossistema: Android
Linguagens: Kotlin
Match (requisitos do projeto):
DOM: M (0/2)[] S (0/1)[] C (1/1)[mobile]
ECO: M (0/1)[] S (0/1)[] C (0/1)[]
LING: M (0/1)[] S (0/2)[] C (0/1)[]
Colaboração (somente com membros desta equipe):
389-308: SEM_COMUM
389-316: SEM_COMUM
389-526: SEM_COMUM</t>
      </text>
    </comment>
    <comment authorId="0" ref="F6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526-308: SEM_COMUM
526-316: SEM_COMUM
526-389: SEM_COMUM</t>
      </text>
    </comment>
    <comment authorId="0" ref="G6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308-316: SEM_COMUM
308-389: SEM_COMUM
308-526: SEM_COMUM</t>
      </text>
    </comment>
    <comment authorId="0" ref="D23">
      <text>
        <t xml:space="preserve">Domínio: Cloud
Ecossistema: AWS Lambda
Linguagens: Python
Match (requisitos do projeto):
DOM: M (0/1)[] S (1/1)[cloud] C (0/1)[]
ECO: M (0/1)[] S (0/2)[] C (1/1)[aws lambda]
LING: M (0/1)[] S (1/2)[python] C (0/2)[]
Colaboração (somente com membros desta equipe):
438-104: SEM_COMUM
438-270: P82(,osf=0.567,slf=0.737) | 438-293: P124(,osf=0.678,slf=0.507); P152(,osf=0.337,slf=0.880) | 438-558: P85(,osf=0.784,slf=0.538)
438-293: SEM_COMUM</t>
      </text>
    </comment>
    <comment authorId="0" ref="E23">
      <text>
        <t xml:space="preserve">Domínio: Web
Ecossistema: Angular
Linguagens: TypeScript
Match (requisitos do projeto):
DOM: M (1/1)[web] S (0/1)[] C (0/1)[]
ECO: M (0/1)[] S (1/2)[angular] C (0/1)[]
LING: M (0/1)[] S (1/2)[typescript] C (0/2)[]
Colaboração (somente com membros desta equipe):
270-104: SEM_COMUM
270-293: SEM_COMUM
270-438: SEM_COMUM</t>
      </text>
    </comment>
    <comment authorId="0" ref="F23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104-270: SEM_COMUM
104-293: SEM_COMUM
104-438: SEM_COMUM</t>
      </text>
    </comment>
    <comment authorId="0" ref="G23">
      <text>
        <t xml:space="preserve">Domínio: Web
Ecossistema: Angular
Linguagens: TypeScript
Match (requisitos do projeto):
DOM: M (1/1)[web] S (0/1)[] C (0/1)[]
ECO: M (0/1)[] S (1/2)[angular] C (0/1)[]
LING: M (0/1)[] S (1/2)[typescript] C (0/2)[]
Colaboração (somente com membros desta equipe):
293-104: SEM_COMUM
293-270: SEM_COMUM
293-438: P124(,osf=0.678,slf=0.507); P152(,osf=0.337,slf=0.880)</t>
      </text>
    </comment>
    <comment authorId="0" ref="D15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104-152: SEM_COMUM
104-446: SEM_COMUM
104-465: SEM_COMUM</t>
      </text>
    </comment>
    <comment authorId="0" ref="E15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446-104: SEM_COMUM
446-152: SEM_COMUM
446-465: SEM_COMUM</t>
      </text>
    </comment>
    <comment authorId="0" ref="F15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152-104: SEM_COMUM
152-446: SEM_COMUM
152-465: SEM_COMUM</t>
      </text>
    </comment>
    <comment authorId="0" ref="G15">
      <text>
        <t xml:space="preserve">Domínio: Web
Ecossistema: Spring Boot
Linguagens: Java
Match (requisitos do projeto):
DOM: M (0/2)[] S (1/1)[web] C (0/1)[]
ECO: M (0/1)[] S (0/3)[] C (0/1)[]
LING: M (0/2)[] S (0/1)[] C (1/2)[java]
Colaboração (somente com membros desta equipe):
465-104: SEM_COMUM
465-152: SEM_COMUM
465-446: SEM_COMUM</t>
      </text>
    </comment>
    <comment authorId="0" ref="A32">
      <text>
        <t xml:space="preserve">"DOM M[Hardware, Embedded] S[IoT] C[Cloud]
ECO M[PCB, Desenvolvimento de Placa] S[Eletrônica (circuitos lógicos e analógicos)] C[Instrumentação (osciloscópio, analisador lógico), Prototipação]
LING M[C] S[C++] C[Python]"
</t>
      </text>
    </comment>
    <comment authorId="0" ref="D32">
      <text>
        <t xml:space="preserve">Domínio: IoT, Web, Embedded
Ecossistema: iOS/iPadOS, PCB, Prototipação
Linguagens: C++, Java, C
Match (requisitos do projeto):
DOM: M (1/2)[embedded] S (1/1)[iot] C (0/1)[]
ECO: M (1/2)[pcb] S (0/1)[] C (1/2)[prototipação]
LING: M (1/1)[c] S (1/1)[c++] C (0/1)[]
Colaboração (somente com membros desta equipe):
65-71: SEM_COMUM
65-63: SEM_COMUM
65-261: P11(osf=0.460,slf=0.781); P76(osf=0.821,slf=0.637); P118(osf=0.593,slf=0.504)</t>
      </text>
    </comment>
    <comment authorId="0" ref="E32">
      <text>
        <t xml:space="preserve">Domínio: IoT, Web, Hardware
Ecossistema: iOS/iPadOS, Desenvolvimento de Placa
Linguagens: HTML, JavaScript, Python, C
Match (requisitos do projeto):
DOM: M (1/2)[hardware] S (1/1)[iot] C (0/1)[]
ECO: M (1/2)[desenvolvimento de placa] S (0/1)[] C (0/2)[]
LING: M (1/1)[c] S (0/1)[] C (1/1)[python]
Colaboração (somente com membros desta equipe):
71-63: SEM_COMUM
71-65: SEM_COMUM
71-261: SEM_COMUM</t>
      </text>
    </comment>
    <comment authorId="0" ref="F32">
      <text>
        <t xml:space="preserve">Domínio: IoT
Ecossistema: Eletrônica (circuitos lógicos e analógicos)
Linguagens: Lua, Java
Match (requisitos do projeto):
DOM: M (0/2)[] S (1/1)[iot] C (0/1)[]
ECO: M (0/2)[] S (1/1)[eletrônica (circuitos lógicos e analógicos)] C (0/2)[]
LING: M (0/1)[] S (0/1)[] C (0/1)[]
Colaboração (somente com membros desta equipe):
63-71: SEM_COMUM
63-65: SEM_COMUM
63-261: SEM_COMUM</t>
      </text>
    </comment>
    <comment authorId="0" ref="G32">
      <text>
        <t xml:space="preserve">Domínio: Cloud
Ecossistema: AWS Lambda, Instrumentação (osciloscópio, analisador lógico)
Linguagens: Python
Match (requisitos do projeto):
DOM: M (0/2)[] S (0/1)[] C (1/1)[cloud]
ECO: M (0/2)[] S (0/1)[] C (1/2)[instrumentação (osciloscópio, analisador lógico)]
LING: M (0/1)[] S (0/1)[] C (1/1)[python]
Colaboração (somente com membros desta equipe):
261-71: SEM_COMUM
261-63: SEM_COMUM
261-65: P76(osf=0.821,slf=0.637); P11(osf=0.460,slf=0.781); P118(osf=0.593,slf=0.504)</t>
      </text>
    </comment>
    <comment authorId="0" ref="D24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198-62: SEM_COMUM
198-415: P82(,osf=0.567,slf=0.737)
198-559: SEM_COMUM</t>
      </text>
    </comment>
    <comment authorId="0" ref="E24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415-62: P85(,osf=0.784,slf=0.538) | 415-198: P82(,osf=0.567,slf=0.737)
415-198: SEM_COMUM
415-559: SEM_COMUM</t>
      </text>
    </comment>
    <comment authorId="0" ref="F24">
      <text>
        <t xml:space="preserve">Domínio: nan
Ecossistema: MongoDB, iOS/iPadOS
Linguagens: nan
Match (requisitos do projeto):
DOM: M (0/1)[] S (0/1)[] C (0/1)[]
ECO: M (1/1)[mongodb] S (0/2)[] C (0/1)[]
LING: M (0/1)[] S (0/2)[] C (0/2)[]
Colaboração (somente com membros desta equipe):
62-198: SEM_COMUM
62-415: P85(,osf=0.784,slf=0.538)
62-559: SEM_COMUM</t>
      </text>
    </comment>
    <comment authorId="0" ref="G24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559-62: SEM_COMUM
559-198: SEM_COMUM
559-415: SEM_COMUM</t>
      </text>
    </comment>
    <comment authorId="0" ref="D16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362-161: SEM_COMUM
362-242: SEM_COMUM
362-450: SEM_COMUM</t>
      </text>
    </comment>
    <comment authorId="0" ref="E16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242-161: SEM_COMUM
242-362: SEM_COMUM
242-450: SEM_COMUM</t>
      </text>
    </comment>
    <comment authorId="0" ref="F16">
      <text>
        <t xml:space="preserve">Domínio: Desktop
Ecossistema: .NET
Linguagens: C#
Match (requisitos do projeto):
DOM: M (0/2)[] S (0/1)[] C (1/1)[desktop]
ECO: M (0/1)[] S (0/3)[] C (0/1)[]
LING: M (0/2)[] S (0/1)[] C (0/2)[]
Colaboração (somente com membros desta equipe):
450-161: SEM_COMUM
450-242: SEM_COMUM
450-362: SEM_COMUM</t>
      </text>
    </comment>
    <comment authorId="0" ref="G16">
      <text>
        <t xml:space="preserve">Domínio: nan
Ecossistema: nan
Linguagens: JavaScript
Match (requisitos do projeto):
DOM: M (0/2)[] S (0/1)[] C (0/1)[]
ECO: M (0/1)[] S (0/3)[] C (0/1)[]
LING: M (0/2)[] S (1/1)[javascript] C (0/2)[]
Colaboração (somente com membros desta equipe):
161-242: SEM_COMUM
161-362: SEM_COMUM
161-450: SEM_COMUM</t>
      </text>
    </comment>
    <comment authorId="0" ref="A8">
      <text>
        <t xml:space="preserve">"DOM  M[Mobile] S[Web] C[Cloud]
ECO  M[Android, iOS/iPadOS] S[React] C[.NET]
LING M[Kotlin, Swift] S[JavaScript, TypeScript] C[Java, C#]"
</t>
      </text>
    </comment>
    <comment authorId="0" ref="D8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466-93: SEM_COMUM
466-292: SEM_COMUM
466-437: SEM_COMUM</t>
      </text>
    </comment>
    <comment authorId="0" ref="E8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93-292: SEM_COMUM
93-437: SEM_COMUM
93-466: SEM_COMUM</t>
      </text>
    </comment>
    <comment authorId="0" ref="F8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437-93: P158(,osf=0.670,slf=0.322); P82(,osf=0.567,slf=0.737); P85(,osf=0.784,slf=0.538) | 437-292: P82(,osf=0.567,slf=0.737)
437-292: SEM_COMUM
437-466: SEM_COMUM</t>
      </text>
    </comment>
    <comment authorId="0" ref="G8">
      <text>
        <t xml:space="preserve">Domínio: Web
Ecossistema: Node.js
Linguagens: JavaScript
Match (requisitos do projeto):
DOM: M (0/1)[] S (1/1)[web] C (0/1)[]
ECO: M (0/2)[] S (0/1)[] C (0/1)[]
LING: M (0/2)[] S (1/2)[javascript] C (0/2)[]
Colaboração (somente com membros desta equipe):
292-93: P82(,osf=0.567,slf=0.737) | 292-437: P82(,osf=0.567,slf=0.737)
292-437: SEM_COMUM
292-466: SEM_COMUM</t>
      </text>
    </comment>
    <comment authorId="0" ref="D33">
      <text>
        <t xml:space="preserve">Domínio: Web, Embedded
Ecossistema: React, PCB
Linguagens: JavaScript, C
Match (requisitos do projeto):
DOM: M (1/2)[embedded] S (0/1)[] C (0/1)[]
ECO: M (1/2)[pcb] S (0/1)[] C (0/2)[]
LING: M (1/1)[c] S (0/1)[] C (0/1)[]
Colaboração (somente com membros desta equipe):
508-36: SEM_COMUM
508-193: SEM_COMUM
508-335: SEM_COMUM</t>
      </text>
    </comment>
    <comment authorId="0" ref="E33">
      <text>
        <t xml:space="preserve">Domínio: Web, Hardware
Ecossistema: Spring Boot, Desenvolvimento de Placa
Linguagens: Java, C++, Python
Match (requisitos do projeto):
DOM: M (1/2)[hardware] S (0/1)[] C (0/1)[]
ECO: M (1/2)[desenvolvimento de placa] S (0/1)[] C (0/2)[]
LING: M (0/1)[] S (1/1)[c++] C (1/1)[python]
Colaboração (somente com membros desta equipe):
193-36: SEM_COMUM
193-335: SEM_COMUM
193-508: SEM_COMUM</t>
      </text>
    </comment>
    <comment authorId="0" ref="F33">
      <text>
        <t xml:space="preserve">Domínio: Mobile, IoT
Ecossistema: Android, Eletrônica (circuitos lógicos e analógicos), Prototipação
Linguagens: Kotlin, C++
Match (requisitos do projeto):
DOM: M (0/2)[] S (1/1)[iot] C (0/1)[]
ECO: M (0/2)[] S (1/1)[eletrônica (circuitos lógicos e analógicos)] C (1/2)[prototipação]
LING: M (0/1)[] S (1/1)[c++] C (0/1)[]
Colaboração (somente com membros desta equipe):
36-193: SEM_COMUM
36-335: SEM_COMUM
36-508: SEM_COMUM</t>
      </text>
    </comment>
    <comment authorId="0" ref="G33">
      <text>
        <t xml:space="preserve">Domínio: Desktop, Cloud
Ecossistema: .NET, Instrumentação (osciloscópio, analisador lógico)
Linguagens: C#, C
Match (requisitos do projeto):
DOM: M (0/2)[] S (0/1)[] C (1/1)[cloud]
ECO: M (0/2)[] S (0/1)[] C (1/2)[instrumentação (osciloscópio, analisador lógico)]
LING: M (1/1)[c] S (0/1)[] C (0/1)[]
Colaboração (somente com membros desta equipe):
335-508: P196(osf=0.888,slf=0.339)
335-193: P85(osf=0.784,slf=0.538); P82(osf=0.567,slf=0.737)
335-36: P82(osf=0.567,slf=0.737)</t>
      </text>
    </comment>
    <comment authorId="0" ref="D17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362-354: SEM_COMUM
362-458: SEM_COMUM
362-495: SEM_COMUM</t>
      </text>
    </comment>
    <comment authorId="0" ref="E17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354-362: SEM_COMUM
354-458: SEM_COMUM
354-495: SEM_COMUM</t>
      </text>
    </comment>
    <comment authorId="0" ref="F17">
      <text>
        <t xml:space="preserve">Domínio: Web
Ecossistema: Spring Boot
Linguagens: Java
Match (requisitos do projeto):
DOM: M (0/2)[] S (1/1)[web] C (0/1)[]
ECO: M (0/1)[] S (0/3)[] C (0/1)[]
LING: M (0/2)[] S (0/1)[] C (1/2)[java]
Colaboração (somente com membros desta equipe):
495-354: SEM_COMUM
495-362: SEM_COMUM
495-458: SEM_COMUM</t>
      </text>
    </comment>
    <comment authorId="0" ref="G17">
      <text>
        <t xml:space="preserve">Domínio: Mobile
Ecossistema: iOS/iPadOS
Linguagens: Swift
Match (requisitos do projeto):
DOM: M (0/2)[] S (0/1)[] C (0/1)[]
ECO: M (0/1)[] S (0/3)[] C (0/1)[]
LING: M (0/2)[] S (0/1)[] C (0/2)[]
Colaboração (somente com membros desta equipe):
458-354: SEM_COMUM
458-362: SEM_COMUM
458-495: SEM_COMUM</t>
      </text>
    </comment>
    <comment authorId="0" ref="D9">
      <text>
        <t xml:space="preserve">Domínio: Web
Ecossistema: Angular
Linguagens: TypeScript
Match (requisitos do projeto):
DOM: M (0/1)[] S (1/1)[web] C (0/1)[]
ECO: M (0/2)[] S (0/1)[] C (0/1)[]
LING: M (0/2)[] S (1/2)[typescript] C (0/2)[]
Colaboração (somente com membros desta equipe):
270-411: SEM_COMUM
270-479: SEM_COMUM
270-503: SEM_COMUM</t>
      </text>
    </comment>
    <comment authorId="0" ref="E9">
      <text>
        <t xml:space="preserve">Domínio: Web
Ecossistema: Spring Boot
Linguagens: Java
Match (requisitos do projeto):
DOM: M (0/1)[] S (1/1)[web] C (0/1)[]
ECO: M (0/2)[] S (0/1)[] C (0/1)[]
LING: M (0/2)[] S (0/2)[] C (1/2)[java]
Colaboração (somente com membros desta equipe):
411-270: P82(,osf=0.567,slf=0.737) | 411-479: P179(,osf=0.489,slf=0.711) | 411-503: P145(,osf=0.612,slf=0.871); P177(,osf=0.340,slf=0.621); P284(,osf=0.383,slf=0.553)
411-479: SEM_COMUM
411-503: SEM_COMUM</t>
      </text>
    </comment>
    <comment authorId="0" ref="F9">
      <text>
        <t xml:space="preserve">Domínio: Web
Ecossistema: Angular
Linguagens: TypeScript
Match (requisitos do projeto):
DOM: M (0/1)[] S (1/1)[web] C (0/1)[]
ECO: M (0/2)[] S (0/1)[] C (0/1)[]
LING: M (0/2)[] S (1/2)[typescript] C (0/2)[]
Colaboração (somente com membros desta equipe):
479-270: SEM_COMUM
479-411: P179(,osf=0.489,slf=0.711)
479-503: SEM_COMUM</t>
      </text>
    </comment>
    <comment authorId="0" ref="G9">
      <text>
        <t xml:space="preserve">Domínio: Web
Ecossistema: React
Linguagens: JavaScript
Match (requisitos do projeto):
DOM: M (0/1)[] S (1/1)[web] C (0/1)[]
ECO: M (0/2)[] S (1/1)[react] C (0/1)[]
LING: M (0/2)[] S (1/2)[javascript] C (0/2)[]
Colaboração (somente com membros desta equipe):
503-270: SEM_COMUM
503-411: SEM_COMUM
503-479: SEM_COMUM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Domínio: Web, Embedded, Hardware
Ecossistema: Node.js, PCB
Linguagens: JavaScript, C, C++
Match (requisitos do projeto):
DOM: M (2/2)[hardware, embedded] S (0/1)[] C (0/1)[]
ECO: M (1/2)[pcb] S (0/1)[] C (0/2)[]
LING: M (1/1)[c] S (1/1)[c++] C (0/1)[]
Colaboração (somente com membros desta equipe):
242-93: SEM_COMUM
242-168: SEM_COMUM
242-446: SEM_COMUM</t>
      </text>
    </comment>
    <comment authorId="0" ref="E34">
      <text>
        <t xml:space="preserve">Domínio: Mobile, IoT
Ecossistema: Android, Eletrônica (circuitos lógicos e analógicos)
Linguagens: Kotlin
Match (requisitos do projeto):
DOM: M (0/2)[] S (1/1)[iot] C (0/1)[]
ECO: M (0/2)[] S (1/1)[eletrônica (circuitos lógicos e analógicos)] C (0/2)[]
LING: M (0/1)[] S (0/1)[] C (0/1)[]
Colaboração (somente com membros desta equipe [Dev242, Dev168, Dev446, Dev93]):
168-242: SEM_COMUM
168-446: SEM_COMUM
168-93: SEM_COMUM</t>
      </text>
    </comment>
    <comment authorId="0" ref="F34">
      <text>
        <t xml:space="preserve">Domínio: Mobile
Ecossistema: Android, Desenvolvimento de Placa, Prototipação
Linguagens: Kotlin
Match (requisitos do projeto):
DOM: M (0/2)[] S (0/1)[] C (0/1)[]
ECO: M (1/2)[desenvolvimento de placa] S (0/1)[] C (1/2)[prototipação]
LING: M (0/1)[] S (0/1)[] C (0/1)[]
Colaboração (somente com membros desta equipe):
446-93: SEM_COMUM
446-168: SEM_COMUM
446-242: SEM_COMUM</t>
      </text>
    </comment>
    <comment authorId="0" ref="G34">
      <text>
        <t xml:space="preserve">Domínio: Desktop, Cloud
Ecossistema: .NET, Instrumentação (osciloscópio, analisador lógico)
Linguagens: C#, Python
Match (requisitos do projeto):
DOM: M (0/2)[] S (0/1)[] C (1/1)[cloud]
ECO: M (0/2)[] S (0/1)[] C (1/2)[instrumentação (osciloscópio, analisador lógico)]
LING: M (0/1)[] S (0/1)[] C (1/1)[python]
Colaboração (somente com membros desta equipe):
93-168: SEM_COMUM
93-242: SEM_COMUM
93-446: SEM_COMUM</t>
      </text>
    </comment>
    <comment authorId="0" ref="D26">
      <text>
        <t xml:space="preserve">Domínio: Web
Ecossistema: Vue
Linguagens: JavaScript
Match (requisitos do projeto):
DOM: M (1/2)[web] S (0/1)[] C (0/1)[]
ECO: M (0/3)[] S (0/1)[] C (0/1)[]
LING: M (1/3)[javascript] S (0/2)[] C (0/2)[]
Colaboração (somente com membros desta equipe):
174-169: SEM_COMUM
174-265: SEM_COMUM
174-524: SEM_COMUM</t>
      </text>
    </comment>
    <comment authorId="0" ref="E26">
      <text>
        <t xml:space="preserve">Domínio: Web
Ecossistema: Spring Boot
Linguagens: Java
Match (requisitos do projeto):
DOM: M (1/2)[web] S (0/1)[] C (0/1)[]
ECO: M (0/3)[] S (0/1)[] C (0/1)[]
LING: M (0/3)[] S (1/2)[java] C (0/2)[]
Colaboração (somente com membros desta equipe):
265-169: SEM_COMUM
265-174: SEM_COMUM
265-524: SEM_COMUM</t>
      </text>
    </comment>
    <comment authorId="0" ref="F26">
      <text>
        <t xml:space="preserve">Domínio: Desktop
Ecossistema: .NET
Linguagens: C#
Match (requisitos do projeto):
DOM: M (0/2)[] S (0/1)[] C (1/1)[desktop]
ECO: M (0/3)[] S (1/1)[.net] C (0/1)[]
LING: M (0/3)[] S (1/2)[c#] C (0/2)[]
Colaboração (somente com membros desta equipe):
524-169: SEM_COMUM
524-174: SEM_COMUM
524-265: SEM_COMUM</t>
      </text>
    </comment>
    <comment authorId="0" ref="G26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169-174: SEM_COMUM
169-265: SEM_COMUM
169-524: SEM_COMUM</t>
      </text>
    </comment>
    <comment authorId="0" ref="D18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439-16: SEM_COMUM
439-209: SEM_COMUM
439-463: SEM_COMUM</t>
      </text>
    </comment>
    <comment authorId="0" ref="E18">
      <text>
        <t xml:space="preserve">Domínio: nan
Ecossistema: iOS/iPadOS
Linguagens: nan
Match (requisitos do projeto):
DOM: M (0/2)[] S (0/1)[] C (0/1)[]
ECO: M (0/1)[] S (0/3)[] C (0/1)[]
LING: M (0/2)[] S (0/1)[] C (0/2)[]
Colaboração (somente com membros desta equipe):
16-209: SEM_COMUM
16-439: SEM_COMUM
16-463: SEM_COMUM</t>
      </text>
    </comment>
    <comment authorId="0" ref="F18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209-16: SEM_COMUM
209-439: SEM_COMUM
209-463: SEM_COMUM</t>
      </text>
    </comment>
    <comment authorId="0" ref="G18">
      <text>
        <t xml:space="preserve">Domínio: Web
Ecossistema: Vue
Linguagens: JavaScript
Match (requisitos do projeto):
DOM: M (0/2)[] S (1/1)[web] C (0/1)[]
ECO: M (0/1)[] S (0/3)[] C (0/1)[]
LING: M (0/2)[] S (1/1)[javascript] C (0/2)[]
Colaboração (somente com membros desta equipe):
463-16: SEM_COMUM
463-209: SEM_COMUM
463-439: SEM_COMUM</t>
      </text>
    </comment>
    <comment authorId="0" ref="D10">
      <text>
        <t xml:space="preserve">Domínio: Web
Ecossistema: Node.js
Linguagens: JavaScript
Match (requisitos do projeto):
DOM: M (0/1)[] S (1/1)[web] C (0/1)[]
ECO: M (0/2)[] S (0/1)[] C (0/1)[]
LING: M (0/2)[] S (1/2)[javascript] C (0/2)[]
Colaboração (somente com membros desta equipe):
115-119: SEM_COMUM
115-193: SEM_COMUM
115-399: SEM_COMUM</t>
      </text>
    </comment>
    <comment authorId="0" ref="E10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119-115: SEM_COMUM
119-193: P82(,osf=0.567,slf=0.737) | 119-399: P82(,osf=0.567,slf=0.737)
119-399: SEM_COMUM</t>
      </text>
    </comment>
    <comment authorId="0" ref="F10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399-115: SEM_COMUM
399-119: P82(,osf=0.567,slf=0.737) | 399-193: P82(,osf=0.567,slf=0.737); P85(,osf=0.784,slf=0.538)
399-193: SEM_COMUM</t>
      </text>
    </comment>
    <comment authorId="0" ref="G10">
      <text>
        <t xml:space="preserve">Domínio: Web
Ecossistema: Spring Boot
Linguagens: Java
Match (requisitos do projeto):
DOM: M (0/1)[] S (1/1)[web] C (0/1)[]
ECO: M (0/2)[] S (0/1)[] C (0/1)[]
LING: M (0/2)[] S (0/2)[] C (1/2)[java]
Colaboração (somente com membros desta equipe):
193-115: SEM_COMUM
193-119: SEM_COMUM
193-399: SEM_COMUM</t>
      </text>
    </comment>
    <comment authorId="0" ref="A2">
      <text>
        <t xml:space="preserve">"DOM  M[Desktop, Web] S[Cloud] C[Mobile]
ECO  M[.NET] S[React] C[MongoDB]
LING M[C#] S[JavaScript, TypeScript] C[Python]"
</t>
      </text>
    </comment>
    <comment authorId="0" ref="D35">
      <text>
        <t xml:space="preserve">Domínio: Web
 Ecossistema: React
 Linguagens: JavaScript
 Match (requisitos do projeto):
 DOM: M (0/2)[] S (0/1)[] C (0/1)[]
 ECO: M (0/2)[] S (0/1)[] C (0/2)[]
 LING: M (0/1)[] S (0/1)[] C (0/1)[]
 Colaboração (somente com membros desta equipe [Dev568, Dev463, Dev7, Dev498]):
 568-463: P184(osf=0.615,slf=0.450); P272(osf=0.487,slf=0.637); P274(osf=0.411,slf=0.591)
 568-7: SEM_COMUM
 568-498: SEM_COMUM</t>
      </text>
    </comment>
    <comment authorId="0" ref="D2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169-27: SEM_COMUM
169-81: SEM_COMUM
169-363: SEM_COMUM</t>
      </text>
    </comment>
    <comment authorId="0" ref="E35">
      <text>
        <t xml:space="preserve">Domínio: Web
 Ecossistema: Vue
 Linguagens: JavaScript
 Match (requisitos do projeto):
 DOM: M (0/2)[] S (0/1)[] C (0/1)[]
 ECO: M (0/2)[] S (0/1)[] C (0/3)[]
 LING: M (0/1)[] S (0/1)[] C (0/1)[]
 Colaboração (somente com membros desta equipe):
 463-7: SEM_COMUM
 463-498: SEM_COMUM
 463-568: SEM_COMUM</t>
      </text>
    </comment>
    <comment authorId="0" ref="E2">
      <text>
        <t xml:space="preserve">Domínio: Web
Ecossistema: nan
Linguagens: JavaScript
Match (requisitos do projeto):
DOM: M (1/2)[web] S (0/1)[] C (0/1)[]
ECO: M (0/1)[] S (0/1)[] C (0/1)[]
LING: M (0/1)[] S (1/2)[javascript] C (0/1)[]
Colaboração (somente com membros desta equipe):
27-81: SEM_COMUM
27-169: SEM_COMUM
27-363: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</t>
      </text>
    </comment>
    <comment authorId="0" ref="F35">
      <text>
        <t xml:space="preserve">Domínio: Web
 Ecossistema: React
 Linguagens: JavaScript
 Match (requisitos do projeto):
 DOM: M (0/2)[] S (0/1)[] C (0/1)[]
 ECO: M (0/2)[] S (0/1)[] C (0/3)[]
 LING: M (0/1)[] S (0/1)[] C (0/1)[]
 Colaboração (somente com membros desta equipe):
 7-463: SEM_COMUM
 7-498: SEM_COMUM
 7-568: SEM_COMUM</t>
      </text>
    </comment>
    <comment authorId="0" ref="F2">
      <text>
        <t xml:space="preserve">Domínio: IoT
Ecossistema: nan
Linguagens: JavaScript
Match (requisitos do projeto):
DOM: M (0/2)[] S (0/1)[] C (0/1)[]
ECO: M (0/1)[] S (0/1)[] C (0/1)[]
LING: M (0/1)[] S (1/2)[javascript] C (0/1)[]
Colaboração (somente com membros desta equipe):
81-27: SEM_COMUM
81-169: SEM_COMUM
81-363: SEM_COMUM</t>
      </text>
    </comment>
    <comment authorId="0" ref="G35">
      <text>
        <t xml:space="preserve">Domínio: Mobile
 Ecossistema: Android
 Linguagens: Kotlin
 Match (requisitos do projeto):
 DOM: M (0/2)[] S (0/1)[] C (0/1)[]
 ECO: M (0/2)[] S (0/1)[] C (0/2)[]
 LING: M (0/1)[] S (1/1)[kotlin] C (0/1)[]
 Colaboração (somente com membros desta equipe [Dev568, Dev463, Dev7, Dev498]):
 498-568: SEM_COMUM
 498-463: P85(osf=0.784,slf=0.538); P82(osf=0.567,slf=0.737)
 498-7: P85(osf=0.784,slf=0.538); P82(osf=0.567,slf=0.737)</t>
      </text>
    </comment>
    <comment authorId="0" ref="G2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363-27: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 | 363-447: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 | 363-544: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
363-81: SEM_COMUM
363-169: SEM_COMUM</t>
      </text>
    </comment>
    <comment authorId="0" ref="D27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438-297: SEM_COMUM
438-461: SEM_COMUM
438-558: SEM_COMUM</t>
      </text>
    </comment>
    <comment authorId="0" ref="E27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558-297: SEM_COMUM
558-438: P85(,osf=0.784,slf=0.538) | 558-461: P183(,osf=0.476,slf=0.842); P184(,osf=0.615,slf=0.450); P188(,osf=0.655,slf=0.631); P219(,osf=0.351,slf=0.534); P269(,osf=0.400,slf=0.408); P274(,osf=0.411,slf=0.591)
558-461: SEM_COMUM</t>
      </text>
    </comment>
    <comment authorId="0" ref="F27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461-297: SEM_COMUM
461-438: SEM_COMUM
461-558: P183(,osf=0.476,slf=0.842); P184(,osf=0.615,slf=0.450); P188(,osf=0.655,slf=0.631); P219(,osf=0.351,slf=0.534); P269(,osf=0.400,slf=0.408); P274(,osf=0.411,slf=0.591)</t>
      </text>
    </comment>
    <comment authorId="0" ref="G27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297-438: SEM_COMUM
297-461: SEM_COMUM
297-558: SEM_COMUM</t>
      </text>
    </comment>
    <comment authorId="0" ref="D11">
      <text>
        <t xml:space="preserve">Domínio: Cloud
Ecossistema: AWS Lambda
Linguagens: Python
Match (requisitos do projeto):
DOM: M (0/1)[] S (0/1)[] C (1/1)[cloud]
ECO: M (0/2)[] S (0/1)[] C (0/1)[]
LING: M (0/2)[] S (0/2)[] C (0/2)[]
Colaboração (somente com membros desta equipe):
468-5: P82(,osf=0.567,slf=0.737) | 468-508: P196(,osf=0.888,slf=0.339) | 468-516: P82(,osf=0.567,slf=0.737); P85(,osf=0.784,slf=0.538)
468-263: SEM_COMUM
468-503: SEM_COMUM</t>
      </text>
    </comment>
    <comment authorId="0" ref="E11">
      <text>
        <t xml:space="preserve">Domínio: Web
Ecossistema: Vue
Linguagens: JavaScript
Match (requisitos do projeto):
DOM: M (0/1)[] S (1/1)[web] C (0/1)[]
ECO: M (0/2)[] S (0/1)[] C (0/1)[]
LING: M (0/2)[] S (1/2)[javascript] C (0/2)[]
Colaboração (somente com membros desta equipe):
263-5: P179(,osf=0.489,slf=0.711) | 263-145: P179(,osf=0.489,slf=0.711); P201(,osf=0.535,slf=0.596)
263-468: SEM_COMUM
263-503: SEM_COMUM</t>
      </text>
    </comment>
    <comment authorId="0" ref="F11">
      <text>
        <t xml:space="preserve">Domínio: Web
Ecossistema: React
Linguagens: JavaScript
Match (requisitos do projeto):
DOM: M (0/1)[] S (1/1)[web] C (0/1)[]
ECO: M (0/2)[] S (1/1)[react] C (0/1)[]
LING: M (0/2)[] S (1/2)[javascript] C (0/2)[]
Colaboração (somente com membros desta equipe):
503-5: P145(,osf=0.612,slf=0.871); P177(,osf=0.340,slf=0.621); P213(,osf=0.312,slf=0.608); P216(,osf=0.401,slf=0.341); P279(,osf=0.594,slf=0.422) | 503-411: P145(,osf=0.612,slf=0.871); P177(,osf=0.340,slf=0.621); P284(,osf=0.383,slf=0.553)
503-263: SEM_COMUM
503-468: SEM_COMUM</t>
      </text>
    </comment>
    <comment authorId="0" ref="G11">
      <text>
        <t xml:space="preserve">Domínio: Mobile
Ecossistema: Android
Linguagens: Kotlin
Match (requisitos do projeto):
DOM: M (1/1)[mobile] S (0/1)[] C (0/1)[]
ECO: M (1/2)[android] S (0/1)[] C (0/1)[]
LING: M (1/2)[kotlin] S (0/2)[] C (0/2)[]
Colaboração (somente com membros desta equipe):
5-263: P179(,osf=0.489,slf=0.711) | 5-468: P82(,osf=0.567,slf=0.737) | 5-503: P145(,osf=0.612,slf=0.871); P177(,osf=0.340,slf=0.621); P213(,osf=0.312,slf=0.608); P216(,osf=0.401,slf=0.341); P279(,osf=0.594,slf=0.422)
5-468: SEM_COMUM
5-503: SEM_COMUM</t>
      </text>
    </comment>
    <comment authorId="0" ref="D36">
      <text>
        <t xml:space="preserve">Domínio: Web
 Ecossistema: Spring Boot
 Linguagens: Java
 Match (requisitos do projeto):
 DOM: M (0/2)[] S (0/1)[] C (0/1)[]
 ECO: M (0/2)[] S (0/1)[] C (0/2)[]
 LING: M (0/1)[] S (0/1)[] C (0/1)[]
 Colaboração (somente com membros desta equipe [Dev498, Dev67, Dev94, Dev291]):
 67-498: SEM_COMUM
 67-94: SEM_COMUM
 67-291: SEM_COMUM</t>
      </text>
    </comment>
    <comment authorId="0" ref="E36">
      <text>
        <t xml:space="preserve">Domínio: Web
 Ecossistema: Vue
 Linguagens: JavaScript
 Match (requisitos do projeto):
 DOM: M (0/2)[] S (0/1)[] C (0/1)[]
 ECO: M (0/2)[] S (0/1)[] C (0/2)[]
 LING: M (0/1)[] S (0/1)[] C (0/1)[]
 Colaboração (somente com membros desta equipe [Dev498, Dev67, Dev94, Dev291]):
 94-498: SEM_COMUM
 94-67: SEM_COMUM
 94-291: P82(osf=0.567,slf=0.737)</t>
      </text>
    </comment>
    <comment authorId="0" ref="F36">
      <text>
        <t xml:space="preserve">Domínio: Desktop
 Ecossistema: .NET
 Linguagens: C#
 Match (requisitos do projeto):
 DOM: M (0/2)[] S (0/1)[] C (0/1)[]
 ECO: M (0/2)[] S (0/1)[] C (0/2)[]
 LING: M (0/1)[] S (0/1)[] C (0/1)[]
 Colaboração (somente com membros desta equipe [Dev498, Dev67, Dev94, Dev291]):
 291-498: SEM_COMUM
 291-67: SEM_COMUM
 291-94: P82(osf=0.567,slf=0.737)</t>
      </text>
    </comment>
    <comment authorId="0" ref="G36">
      <text>
        <t xml:space="preserve">Domínio: Desktop
 Ecossistema: .NET
 Linguagens: C#
 Match (requisitos do projeto):
 DOM: M (0/2)[] S (0/1)[] C (0/1)[]
 ECO: M (0/2)[] S (0/1)[] C (0/3)[]
 LING: M (0/1)[] S (0/1)[] C (0/1)[]
 Colaboração (somente com membros desta equipe):
 450-67: SEM_COMUM
 450-94: SEM_COMUM
 450-291: SEM_COMUM</t>
      </text>
    </comment>
    <comment authorId="0" ref="D28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324-250: SEM_COMUM
324-370: SEM_COMUM
324-439: SEM_COMUM</t>
      </text>
    </comment>
    <comment authorId="0" ref="E28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439-250: SEM_COMUM
439-324: SEM_COMUM
439-370: SEM_COMUM</t>
      </text>
    </comment>
    <comment authorId="0" ref="F28">
      <text>
        <t xml:space="preserve">Domínio: Mobile
Ecossistema: iOS/iPadOS
Linguagens: Swift
Match (requisitos do projeto):
DOM: M (0/2)[] S (1/1)[mobile] C (0/1)[]
ECO: M (0/3)[] S (0/1)[] C (0/1)[]
LING: M (0/3)[] S (0/2)[] C (1/2)[swift]
Colaboração (somente com membros desta equipe):
370-250: SEM_COMUM
370-324: SEM_COMUM
370-439: SEM_COMUM</t>
      </text>
    </comment>
    <comment authorId="0" ref="G28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250-324: SEM_COMUM
250-370: SEM_COMUM
250-439: SEM_COMUM</t>
      </text>
    </comment>
    <comment authorId="0" ref="A20">
      <text>
        <t xml:space="preserve">"DOM  M[Web] S[Cloud] C[Desktop]
ECO  M[MongoDB] S[Angular, React] C[AWS Lambda]
LING M[JavaScript] S[TypeScript, Python] C[Java, C#]"
</t>
      </text>
    </comment>
    <comment authorId="0" ref="D20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263-241: SEM_COMUM
263-303: SEM_COMUM
263-548: SEM_COMUM</t>
      </text>
    </comment>
    <comment authorId="0" ref="E20">
      <text>
        <t xml:space="preserve">Domínio: Web
Ecossistema: Node.js
Linguagens: JavaScript
Match (requisitos do projeto):
DOM: M (1/1)[web] S (0/1)[] C (0/1)[]
ECO: M (0/1)[] S (0/2)[] C (0/1)[]
LING: M (1/1)[javascript] S (0/2)[] C (0/2)[]
Colaboração (somente com membros desta equipe):
241-263: SEM_COMUM
241-303: SEM_COMUM
241-548: SEM_COMUM</t>
      </text>
    </comment>
    <comment authorId="0" ref="F20">
      <text>
        <t xml:space="preserve">Domínio: Desktop
Ecossistema: .NET
Linguagens: C#
Match (requisitos do projeto):
DOM: M (0/1)[] S (0/1)[] C (1/1)[desktop]
ECO: M (0/1)[] S (0/2)[] C (0/1)[]
LING: M (0/1)[] S (0/2)[] C (1/2)[c#]
Colaboração (somente com membros desta equipe):
303-241: SEM_COMUM
303-263: SEM_COMUM
303-548: SEM_COMUM</t>
      </text>
    </comment>
    <comment authorId="0" ref="G20">
      <text>
        <t xml:space="preserve">Domínio: Mobile
Ecossistema: iOS/iPadOS
Linguagens: Swift
Match (requisitos do projeto):
DOM: M (0/1)[] S (0/1)[] C (0/1)[]
ECO: M (0/1)[] S (0/2)[] C (0/1)[]
LING: M (0/1)[] S (0/2)[] C (0/2)[]
Colaboração (somente com membros desta equipe):
548-241: SEM_COMUM
548-263: SEM_COMUM
548-303: SEM_COMUM</t>
      </text>
    </comment>
    <comment authorId="0" ref="D12">
      <text>
        <t xml:space="preserve">Domínio: Mobile
Ecossistema: Android
Linguagens: Kotlin
Match (requisitos do projeto):
DOM: M (1/1)[mobile] S (0/1)[] C (0/1)[]
ECO: M (1/2)[android] S (0/1)[] C (0/1)[]
LING: M (1/2)[kotlin] S (0/2)[] C (0/2)[]
Colaboração (somente com membros desta equipe):
104-81: P69(,osf=0.478,slf=0.301)
104-363: SEM_COMUM
104-544: SEM_COMUM</t>
      </text>
    </comment>
    <comment authorId="0" ref="E12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363-81: SEM_COMUM
363-104: SEM_COMUM
363-544: SEM_COMUM</t>
      </text>
    </comment>
    <comment authorId="0" ref="F12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544-81: SEM_COMUM
544-104: SEM_COMUM
544-363: SEM_COMUM</t>
      </text>
    </comment>
    <comment authorId="0" ref="G12">
      <text>
        <t xml:space="preserve">Domínio: IoT
Ecossistema: nan
Linguagens: JavaScript
Match (requisitos do projeto):
DOM: M (0/1)[] S (0/1)[] C (0/1)[]
ECO: M (0/2)[] S (0/1)[] C (0/1)[]
LING: M (0/2)[] S (1/2)[javascript] C (0/2)[]
Colaboração (somente com membros desta equipe):
81-104: P69(,osf=0.478,slf=0.301)
81-363: SEM_COMUM
81-544: SEM_COMUM</t>
      </text>
    </comment>
    <comment authorId="0" ref="D4">
      <text>
        <t xml:space="preserve">Domínio: Mobile
Ecossistema: Android
Linguagens: Kotlin
Match (requisitos do projeto):
DOM: M (0/2)[] S (0/1)[] C (1/1)[mobile]
ECO: M (0/1)[] S (0/1)[] C (0/1)[]
LING: M (0/1)[] S (0/2)[] C (0/1)[]
Colaboração (somente com membros desta equipe):
205-363: SEM_COMUM
205-447: SEM_COMUM
205-526: P139(,osf=0.325,slf=0.436)</t>
      </text>
    </comment>
    <comment authorId="0" ref="E4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526-205: P139(,osf=0.325,slf=0.436)
526-363: SEM_COMUM
526-447: SEM_COMUM</t>
      </text>
    </comment>
    <comment authorId="0" ref="F4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363-205: SEM_COMUM
363-447: SEM_COMUM
363-526: SEM_COMUM</t>
      </text>
    </comment>
    <comment authorId="0" ref="G4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447-205: SEM_COMUM
447-363: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
447-526: SEM_COMUM</t>
      </text>
    </comment>
    <comment authorId="0" ref="D29">
      <text>
        <t xml:space="preserve">Domínio: Mobile
Ecossistema: iOS/iPadOS
Linguagens: Swift
Match (requisitos do projeto):
DOM: M (0/2)[] S (1/1)[mobile] C (0/1)[]
ECO: M (0/3)[] S (0/1)[] C (0/1)[]
LING: M (0/3)[] S (0/2)[] C (1/2)[swift]
Colaboração (somente com membros desta equipe):
331-36: SEM_COMUM
331-181: SEM_COMUM
331-494: SEM_COMUM</t>
      </text>
    </comment>
    <comment authorId="0" ref="E29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36-181: P82(,osf=0.567,slf=0.737)
36-331: SEM_COMUM
36-494: SEM_COMUM</t>
      </text>
    </comment>
    <comment authorId="0" ref="F29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181-36: P82(,osf=0.567,slf=0.737)
181-331: SEM_COMUM
181-494: SEM_COMUM</t>
      </text>
    </comment>
    <comment authorId="0" ref="G29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494-36: SEM_COMUM
494-181: SEM_COMUM
494-331: SEM_COMUM</t>
      </text>
    </comment>
    <comment authorId="0" ref="D21">
      <text>
        <t xml:space="preserve">Domínio: IoT, Web
Ecossistema: iOS/iPadOS
Linguagens: JSON, JavaScript
Match (requisitos do projeto):
DOM: M (1/1)[web] S (0/1)[] C (0/1)[]
ECO: M (0/1)[] S (0/2)[] C (0/1)[]
LING: M (1/1)[javascript] S (0/2)[] C (0/2)[]
Colaboração (somente com membros desta equipe):
145-38: SEM_COMUM
145-225: SEM_COMUM
145-263: P179(,osf=0.489,slf=0.711); P201(,osf=0.535,slf=0.596)</t>
      </text>
    </comment>
    <comment authorId="0" ref="E21">
      <text>
        <t xml:space="preserve">Domínio: Web
Ecossistema: iOS/iPadOS
Linguagens: nan
Match (requisitos do projeto):
DOM: M (1/1)[web] S (0/1)[] C (0/1)[]
ECO: M (0/1)[] S (0/2)[] C (0/1)[]
LING: M (0/1)[] S (0/2)[] C (0/2)[]
Colaboração (somente com membros desta equipe):
38-145: SEM_COMUM
38-225: P82(,osf=0.567,slf=0.737)
38-263: SEM_COMUM</t>
      </text>
    </comment>
    <comment authorId="0" ref="F21">
      <text>
        <t xml:space="preserve">Domínio: Web
Ecossistema: React
Linguagens: JavaScript
Match (requisitos do projeto):
DOM: M (1/1)[web] S (0/1)[] C (0/1)[]
ECO: M (0/1)[] S (1/2)[react] C (0/1)[]
LING: M (1/1)[javascript] S (0/2)[] C (0/2)[]
Colaboração (somente com membros desta equipe):
225-38: P82(,osf=0.567,slf=0.737)
225-145: SEM_COMUM
225-263: SEM_COMUM</t>
      </text>
    </comment>
    <comment authorId="0" ref="G21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263-38: SEM_COMUM
263-145: SEM_COMUM
263-225: SEM_COMUM</t>
      </text>
    </comment>
    <comment authorId="0" ref="D5">
      <text>
        <t xml:space="preserve">Domínio: nan
Ecossistema: Android, CouchDB, iOS/iPadOS
Linguagens: JavaScript
Match (requisitos do projeto):
DOM: M (0/2)[] S (0/1)[] C (0/1)[]
ECO: M (0/1)[] S (0/1)[] C (0/1)[]
LING: M (0/1)[] S (1/2)[javascript] C (0/1)[]
Colaboração (somente com membros desta equipe):
33-93: SEM_COMUM
33-270: SEM_COMUM
33-303: SEM_COMUM</t>
      </text>
    </comment>
    <comment authorId="0" ref="E5">
      <text>
        <t xml:space="preserve">Domínio: Desktop
Ecossistema: .NET
Linguagens: C#
Match (requisitos do projeto):
DOM: M (1/2)[desktop] S (0/1)[] C (0/1)[]
ECO: M (1/1)[.net] S (0/1)[] C (0/1)[]
LING: M (1/1)[c#] S (0/2)[] C (0/1)[]
Colaboração (somente com membros desta equipe):
303-33: SEM_COMUM
303-93: SEM_COMUM
303-270: SEM_COMUM</t>
      </text>
    </comment>
    <comment authorId="0" ref="F5">
      <text>
        <t xml:space="preserve">Domínio: Web
Ecossistema: Angular
Linguagens: TypeScript
Match (requisitos do projeto):
DOM: M (1/2)[web] S (0/1)[] C (0/1)[]
ECO: M (0/1)[] S (0/1)[] C (0/1)[]
LING: M (0/1)[] S (1/2)[typescript] C (0/1)[]
Colaboração (somente com membros desta equipe):
270-33: SEM_COMUM
270-93: P82(,osf=0.567,slf=0.737) | 270-411: P82(,osf=0.567,slf=0.737) | 270-438: P82(,osf=0.567,slf=0.737)
270-303: SEM_COMUM</t>
      </text>
    </comment>
    <comment authorId="0" ref="G5">
      <text>
        <t xml:space="preserve">Domínio: Desktop
Ecossistema: .NET
Linguagens: C#
Match (requisitos do projeto):
DOM: M (1/2)[desktop] S (0/1)[] C (0/1)[]
ECO: M (1/1)[.net] S (0/1)[] C (0/1)[]
LING: M (1/1)[c#] S (0/2)[] C (0/1)[]
Colaboração (somente com membros desta equipe):
93-33: SEM_COMUM
93-270: P82(,osf=0.567,slf=0.737) | 93-292: P82(,osf=0.567,slf=0.737) | 93-437: P158(,osf=0.670,slf=0.322); P82(,osf=0.567,slf=0.737); P85(,osf=0.784,slf=0.538)
93-303: SEM_COMUM</t>
      </text>
    </comment>
    <comment authorId="0" ref="D30">
      <text>
        <t xml:space="preserve">Domínio: Web
Ecossistema: Angular
Linguagens: TypeScript
Match (requisitos do projeto):
DOM: M (1/2)[web] S (0/1)[] C (0/1)[]
ECO: M (0/3)[] S (0/1)[] C (0/1)[]
LING: M (1/3)[typescript] S (0/2)[] C (0/2)[]
Colaboração (somente com membros desta equipe):
479-316: SEM_COMUM
479-357: SEM_COMUM
479-389: SEM_COMUM</t>
      </text>
    </comment>
    <comment authorId="0" ref="E30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389-316: SEM_COMUM
389-357: SEM_COMUM
389-479: SEM_COMUM</t>
      </text>
    </comment>
    <comment authorId="0" ref="F30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357-316: SEM_COMUM
357-389: SEM_COMUM
357-479: SEM_COMUM</t>
      </text>
    </comment>
    <comment authorId="0" ref="G30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316-357: SEM_COMUM
316-389: SEM_COMUM
316-479: SEM_COMUM</t>
      </text>
    </comment>
    <comment authorId="0" ref="D22">
      <text>
        <t xml:space="preserve">Domínio: Web
Ecossistema: Spring Boot
Linguagens: Java
Match (requisitos do projeto):
DOM: M (1/1)[web] S (0/1)[] C (0/1)[]
ECO: M (0/1)[] S (0/2)[] C (0/1)[]
LING: M (0/1)[] S (0/2)[] C (1/2)[java]
Colaboração (somente com membros desta equipe):
193-7: P82(,osf=0.567,slf=0.737); P85(,osf=0.784,slf=0.538) | 193-119: P82(,osf=0.567,slf=0.737) | 193-194: P82(,osf=0.567,slf=0.737); P85(,osf=0.784,slf=0.538) | 193-399: P82(,osf=0.567,slf=0.737); P85(,osf=0.784,slf=0.538)
193-154: SEM_COMUM
193-194: SEM_COMUM</t>
      </text>
    </comment>
    <comment authorId="0" ref="E22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194-7: P40(,osf=0.733,slf=0.373); P82(,osf=0.567,slf=0.737); P85(,osf=0.784,slf=0.538) | 194-193: P82(,osf=0.567,slf=0.737); P85(,osf=0.784,slf=0.538)
194-154: SEM_COMUM
194-193: SEM_COMUM</t>
      </text>
    </comment>
    <comment authorId="0" ref="F22">
      <text>
        <t xml:space="preserve">Domínio: Web
Ecossistema: React
Linguagens: JavaScript
Match (requisitos do projeto):
DOM: M (1/1)[web] S (0/1)[] C (0/1)[]
ECO: M (0/1)[] S (1/2)[react] C (0/1)[]
LING: M (1/1)[javascript] S (0/2)[] C (0/2)[]
Colaboração (somente com membros desta equipe):
7-154: SEM_COMUM
7-193: P82(,osf=0.567,slf=0.737); P85(,osf=0.784,slf=0.538) | 7-194: P40(,osf=0.733,slf=0.373); P82(,osf=0.567,slf=0.737); P85(,osf=0.784,slf=0.538)
7-194: SEM_COMUM</t>
      </text>
    </comment>
    <comment authorId="0" ref="G22">
      <text>
        <t xml:space="preserve">Domínio: Cloud
Ecossistema: AWS Lambda
Linguagens: Python
Match (requisitos do projeto):
DOM: M (0/1)[] S (1/1)[cloud] C (0/1)[]
ECO: M (0/1)[] S (0/2)[] C (1/1)[aws lambda]
LING: M (0/1)[] S (1/2)[python] C (0/2)[]
Colaboração (somente com membros desta equipe):
154-7: SEM_COMUM
154-193: SEM_COMUM
154-194: SEM_COMUM</t>
      </text>
    </comment>
    <comment authorId="0" ref="A14">
      <text>
        <t xml:space="preserve">"DOM  M[IoT, Cloud] S[Web] C[Desktop]
ECO  M[AWS Lambda] S[React, Angular, MongoDB] C[Android]
LING M[Python, C++] S[JavaScript] C[Java, TypeScript]"
</t>
      </text>
    </comment>
    <comment authorId="0" ref="D14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423-391: SEM_COMUM
423-494: SEM_COMUM
423-558: P85(,osf=0.784,slf=0.538)</t>
      </text>
    </comment>
    <comment authorId="0" ref="E14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558-391: SEM_COMUM
558-423: SEM_COMUM
558-494: SEM_COMUM</t>
      </text>
    </comment>
    <comment authorId="0" ref="F14">
      <text>
        <t xml:space="preserve">Domínio: Cloud
Ecossistema: AWS Lambda
Linguagens: Python
Match (requisitos do projeto):
DOM: M (1/2)[cloud] S (0/1)[] C (0/1)[]
ECO: M (1/1)[aws lambda] S (0/3)[] C (0/1)[]
LING: M (1/2)[python] S (0/1)[] C (0/2)[]
Colaboração (somente com membros desta equipe):
494-391: SEM_COMUM
494-423: SEM_COMUM
494-558: SEM_COMUM</t>
      </text>
    </comment>
    <comment authorId="0" ref="G14">
      <text>
        <t xml:space="preserve">Domínio: Cloud
Ecossistema: AWS Lambda
Linguagens: Python
Match (requisitos do projeto):
DOM: M (1/2)[cloud] S (0/1)[] C (0/1)[]
ECO: M (1/1)[aws lambda] S (0/3)[] C (0/1)[]
LING: M (1/2)[python] S (0/1)[] C (0/2)[]
Colaboração (somente com membros desta equipe):
391-423: SEM_COMUM
391-494: SEM_COMUM
391-558: SEM_COMUM</t>
      </text>
    </comment>
    <comment authorId="0" ref="D6">
      <text>
        <t xml:space="preserve">Domínio: Web
Ecossistema: Node.js
Linguagens: JavaScript
Match (requisitos do projeto):
DOM: M (1/2)[web] S (0/1)[] C (0/1)[]
ECO: M (0/1)[] S (0/1)[] C (0/1)[]
LING: M (0/1)[] S (1/2)[javascript] C (0/1)[]
Colaboração (somente com membros desta equipe):
316-308: SEM_COMUM
316-389: SEM_COMUM
316-526: SEM_COMUM</t>
      </text>
    </comment>
    <comment authorId="0" ref="E6">
      <text>
        <t xml:space="preserve">Domínio: Mobile
Ecossistema: Android
Linguagens: Kotlin
Match (requisitos do projeto):
DOM: M (0/2)[] S (0/1)[] C (1/1)[mobile]
ECO: M (0/1)[] S (0/1)[] C (0/1)[]
LING: M (0/1)[] S (0/2)[] C (0/1)[]
Colaboração (somente com membros desta equipe):
389-308: SEM_COMUM
389-316: SEM_COMUM
389-526: SEM_COMUM</t>
      </text>
    </comment>
    <comment authorId="0" ref="F6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526-308: SEM_COMUM
526-316: SEM_COMUM
526-389: SEM_COMUM</t>
      </text>
    </comment>
    <comment authorId="0" ref="G6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308-316: SEM_COMUM
308-389: SEM_COMUM
308-526: SEM_COMUM</t>
      </text>
    </comment>
    <comment authorId="0" ref="D23">
      <text>
        <t xml:space="preserve">Domínio: Cloud
Ecossistema: AWS Lambda
Linguagens: Python
Match (requisitos do projeto):
DOM: M (0/1)[] S (1/1)[cloud] C (0/1)[]
ECO: M (0/1)[] S (0/2)[] C (1/1)[aws lambda]
LING: M (0/1)[] S (1/2)[python] C (0/2)[]
Colaboração (somente com membros desta equipe):
438-104: SEM_COMUM
438-270: P82(,osf=0.567,slf=0.737) | 438-293: P124(,osf=0.678,slf=0.507); P152(,osf=0.337,slf=0.880) | 438-558: P85(,osf=0.784,slf=0.538)
438-293: SEM_COMUM</t>
      </text>
    </comment>
    <comment authorId="0" ref="E23">
      <text>
        <t xml:space="preserve">Domínio: Web
Ecossistema: Angular
Linguagens: TypeScript
Match (requisitos do projeto):
DOM: M (1/1)[web] S (0/1)[] C (0/1)[]
ECO: M (0/1)[] S (1/2)[angular] C (0/1)[]
LING: M (0/1)[] S (1/2)[typescript] C (0/2)[]
Colaboração (somente com membros desta equipe):
270-104: SEM_COMUM
270-293: SEM_COMUM
270-438: SEM_COMUM</t>
      </text>
    </comment>
    <comment authorId="0" ref="F23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104-270: SEM_COMUM
104-293: SEM_COMUM
104-438: SEM_COMUM</t>
      </text>
    </comment>
    <comment authorId="0" ref="G23">
      <text>
        <t xml:space="preserve">Domínio: Web
Ecossistema: Angular
Linguagens: TypeScript
Match (requisitos do projeto):
DOM: M (1/1)[web] S (0/1)[] C (0/1)[]
ECO: M (0/1)[] S (1/2)[angular] C (0/1)[]
LING: M (0/1)[] S (1/2)[typescript] C (0/2)[]
Colaboração (somente com membros desta equipe):
293-104: SEM_COMUM
293-270: SEM_COMUM
293-438: P124(,osf=0.678,slf=0.507); P152(,osf=0.337,slf=0.880)</t>
      </text>
    </comment>
    <comment authorId="0" ref="D15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104-152: SEM_COMUM
104-446: SEM_COMUM
104-465: SEM_COMUM</t>
      </text>
    </comment>
    <comment authorId="0" ref="E15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446-104: SEM_COMUM
446-152: SEM_COMUM
446-465: SEM_COMUM</t>
      </text>
    </comment>
    <comment authorId="0" ref="F15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152-104: SEM_COMUM
152-446: SEM_COMUM
152-465: SEM_COMUM</t>
      </text>
    </comment>
    <comment authorId="0" ref="G15">
      <text>
        <t xml:space="preserve">Domínio: Web
Ecossistema: Spring Boot
Linguagens: Java
Match (requisitos do projeto):
DOM: M (0/2)[] S (1/1)[web] C (0/1)[]
ECO: M (0/1)[] S (0/3)[] C (0/1)[]
LING: M (0/2)[] S (0/1)[] C (1/2)[java]
Colaboração (somente com membros desta equipe):
465-104: SEM_COMUM
465-152: SEM_COMUM
465-446: SEM_COMUM</t>
      </text>
    </comment>
    <comment authorId="0" ref="A32">
      <text>
        <t xml:space="preserve">"DOM M[Hardware, Embedded] S[IoT] C[Cloud]
ECO M[PCB, Desenvolvimento de Placa] S[Eletrônica (circuitos lógicos e analógicos)] C[Instrumentação (osciloscópio, analisador lógico), Prototipação]
LING M[C] S[C++] C[Python]"
</t>
      </text>
    </comment>
    <comment authorId="0" ref="D32">
      <text>
        <t xml:space="preserve">Domínio: IoT, Web, Embedded
Ecossistema: iOS/iPadOS, PCB, Prototipação
Linguagens: C++, Java, C
Match (requisitos do projeto):
DOM: M (1/2)[embedded] S (1/1)[iot] C (0/1)[]
ECO: M (1/2)[pcb] S (0/1)[] C (1/2)[prototipação]
LING: M (1/1)[c] S (1/1)[c++] C (0/1)[]
Colaboração (somente com membros desta equipe):
65-71: SEM_COMUM
65-63: SEM_COMUM
65-261: P11(osf=0.460,slf=0.781); P76(osf=0.821,slf=0.637); P118(osf=0.593,slf=0.504)</t>
      </text>
    </comment>
    <comment authorId="0" ref="E32">
      <text>
        <t xml:space="preserve">Domínio: IoT, Web, Hardware
Ecossistema: iOS/iPadOS, Desenvolvimento de Placa
Linguagens: HTML, JavaScript, Python, C
Match (requisitos do projeto):
DOM: M (1/2)[hardware] S (1/1)[iot] C (0/1)[]
ECO: M (1/2)[desenvolvimento de placa] S (0/1)[] C (0/2)[]
LING: M (1/1)[c] S (0/1)[] C (1/1)[python]
Colaboração (somente com membros desta equipe):
71-63: SEM_COMUM
71-65: SEM_COMUM
71-261: SEM_COMUM</t>
      </text>
    </comment>
    <comment authorId="0" ref="F32">
      <text>
        <t xml:space="preserve">Domínio: IoT
Ecossistema: Eletrônica (circuitos lógicos e analógicos)
Linguagens: Lua, Java
Match (requisitos do projeto):
DOM: M (0/2)[] S (1/1)[iot] C (0/1)[]
ECO: M (0/2)[] S (1/1)[eletrônica (circuitos lógicos e analógicos)] C (0/2)[]
LING: M (0/1)[] S (0/1)[] C (0/1)[]
Colaboração (somente com membros desta equipe):
63-71: SEM_COMUM
63-65: SEM_COMUM
63-261: SEM_COMUM</t>
      </text>
    </comment>
    <comment authorId="0" ref="G32">
      <text>
        <t xml:space="preserve">Domínio: Cloud
Ecossistema: AWS Lambda, Instrumentação (osciloscópio, analisador lógico)
Linguagens: Python
Match (requisitos do projeto):
DOM: M (0/2)[] S (0/1)[] C (1/1)[cloud]
ECO: M (0/2)[] S (0/1)[] C (1/2)[instrumentação (osciloscópio, analisador lógico)]
LING: M (0/1)[] S (0/1)[] C (1/1)[python]
Colaboração (somente com membros desta equipe):
261-71: SEM_COMUM
261-63: SEM_COMUM
261-65: P76(osf=0.821,slf=0.637); P11(osf=0.460,slf=0.781); P118(osf=0.593,slf=0.504)</t>
      </text>
    </comment>
    <comment authorId="0" ref="D24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198-62: SEM_COMUM
198-415: P82(,osf=0.567,slf=0.737)
198-559: SEM_COMUM</t>
      </text>
    </comment>
    <comment authorId="0" ref="E24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415-62: P85(,osf=0.784,slf=0.538) | 415-198: P82(,osf=0.567,slf=0.737)
415-198: SEM_COMUM
415-559: SEM_COMUM</t>
      </text>
    </comment>
    <comment authorId="0" ref="F24">
      <text>
        <t xml:space="preserve">Domínio: nan
Ecossistema: MongoDB, iOS/iPadOS
Linguagens: nan
Match (requisitos do projeto):
DOM: M (0/1)[] S (0/1)[] C (0/1)[]
ECO: M (1/1)[mongodb] S (0/2)[] C (0/1)[]
LING: M (0/1)[] S (0/2)[] C (0/2)[]
Colaboração (somente com membros desta equipe):
62-198: SEM_COMUM
62-415: P85(,osf=0.784,slf=0.538)
62-559: SEM_COMUM</t>
      </text>
    </comment>
    <comment authorId="0" ref="G24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559-62: SEM_COMUM
559-198: SEM_COMUM
559-415: SEM_COMUM</t>
      </text>
    </comment>
    <comment authorId="0" ref="D16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362-161: SEM_COMUM
362-242: SEM_COMUM
362-450: SEM_COMUM</t>
      </text>
    </comment>
    <comment authorId="0" ref="E16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242-161: SEM_COMUM
242-362: SEM_COMUM
242-450: SEM_COMUM</t>
      </text>
    </comment>
    <comment authorId="0" ref="F16">
      <text>
        <t xml:space="preserve">Domínio: Desktop
Ecossistema: .NET
Linguagens: C#
Match (requisitos do projeto):
DOM: M (0/2)[] S (0/1)[] C (1/1)[desktop]
ECO: M (0/1)[] S (0/3)[] C (0/1)[]
LING: M (0/2)[] S (0/1)[] C (0/2)[]
Colaboração (somente com membros desta equipe):
450-161: SEM_COMUM
450-242: SEM_COMUM
450-362: SEM_COMUM</t>
      </text>
    </comment>
    <comment authorId="0" ref="G16">
      <text>
        <t xml:space="preserve">Domínio: nan
Ecossistema: nan
Linguagens: JavaScript
Match (requisitos do projeto):
DOM: M (0/2)[] S (0/1)[] C (0/1)[]
ECO: M (0/1)[] S (0/3)[] C (0/1)[]
LING: M (0/2)[] S (1/1)[javascript] C (0/2)[]
Colaboração (somente com membros desta equipe):
161-242: SEM_COMUM
161-362: SEM_COMUM
161-450: SEM_COMUM</t>
      </text>
    </comment>
    <comment authorId="0" ref="A8">
      <text>
        <t xml:space="preserve">"DOM  M[Mobile] S[Web] C[Cloud]
ECO  M[Android, iOS/iPadOS] S[React] C[.NET]
LING M[Kotlin, Swift] S[JavaScript, TypeScript] C[Java, C#]"
</t>
      </text>
    </comment>
    <comment authorId="0" ref="D8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466-93: SEM_COMUM
466-292: SEM_COMUM
466-437: SEM_COMUM</t>
      </text>
    </comment>
    <comment authorId="0" ref="E8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93-292: SEM_COMUM
93-437: SEM_COMUM
93-466: SEM_COMUM</t>
      </text>
    </comment>
    <comment authorId="0" ref="F8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437-93: P158(,osf=0.670,slf=0.322); P82(,osf=0.567,slf=0.737); P85(,osf=0.784,slf=0.538) | 437-292: P82(,osf=0.567,slf=0.737)
437-292: SEM_COMUM
437-466: SEM_COMUM</t>
      </text>
    </comment>
    <comment authorId="0" ref="G8">
      <text>
        <t xml:space="preserve">Domínio: Web
Ecossistema: Node.js
Linguagens: JavaScript
Match (requisitos do projeto):
DOM: M (0/1)[] S (1/1)[web] C (0/1)[]
ECO: M (0/2)[] S (0/1)[] C (0/1)[]
LING: M (0/2)[] S (1/2)[javascript] C (0/2)[]
Colaboração (somente com membros desta equipe):
292-93: P82(,osf=0.567,slf=0.737) | 292-437: P82(,osf=0.567,slf=0.737)
292-437: SEM_COMUM
292-466: SEM_COMUM</t>
      </text>
    </comment>
    <comment authorId="0" ref="D33">
      <text>
        <t xml:space="preserve">Domínio: Web, Embedded
Ecossistema: React, PCB
Linguagens: JavaScript, C
Match (requisitos do projeto):
DOM: M (1/2)[embedded] S (0/1)[] C (0/1)[]
ECO: M (1/2)[pcb] S (0/1)[] C (0/2)[]
LING: M (1/1)[c] S (0/1)[] C (0/1)[]
Colaboração (somente com membros desta equipe):
508-36: SEM_COMUM
508-193: SEM_COMUM
508-335: SEM_COMUM</t>
      </text>
    </comment>
    <comment authorId="0" ref="E33">
      <text>
        <t xml:space="preserve">Domínio: Web, Hardware
Ecossistema: Spring Boot, Desenvolvimento de Placa
Linguagens: Java, C++, Python
Match (requisitos do projeto):
DOM: M (1/2)[hardware] S (0/1)[] C (0/1)[]
ECO: M (1/2)[desenvolvimento de placa] S (0/1)[] C (0/2)[]
LING: M (0/1)[] S (1/1)[c++] C (1/1)[python]
Colaboração (somente com membros desta equipe):
193-36: SEM_COMUM
193-335: SEM_COMUM
193-508: SEM_COMUM</t>
      </text>
    </comment>
    <comment authorId="0" ref="F33">
      <text>
        <t xml:space="preserve">Domínio: Mobile, IoT
Ecossistema: Android, Eletrônica (circuitos lógicos e analógicos), Prototipação
Linguagens: Kotlin, C++
Match (requisitos do projeto):
DOM: M (0/2)[] S (1/1)[iot] C (0/1)[]
ECO: M (0/2)[] S (1/1)[eletrônica (circuitos lógicos e analógicos)] C (1/2)[prototipação]
LING: M (0/1)[] S (1/1)[c++] C (0/1)[]
Colaboração (somente com membros desta equipe):
36-193: SEM_COMUM
36-335: SEM_COMUM
36-508: SEM_COMUM</t>
      </text>
    </comment>
    <comment authorId="0" ref="G33">
      <text>
        <t xml:space="preserve">Domínio: Desktop, Cloud
Ecossistema: .NET, Instrumentação (osciloscópio, analisador lógico)
Linguagens: C#, C
Match (requisitos do projeto):
DOM: M (0/2)[] S (0/1)[] C (1/1)[cloud]
ECO: M (0/2)[] S (0/1)[] C (1/2)[instrumentação (osciloscópio, analisador lógico)]
LING: M (1/1)[c] S (0/1)[] C (0/1)[]
Colaboração (somente com membros desta equipe):
335-508: P196(osf=0.888,slf=0.339)
335-193: P85(osf=0.784,slf=0.538); P82(osf=0.567,slf=0.737)
335-36: P82(osf=0.567,slf=0.737)</t>
      </text>
    </comment>
    <comment authorId="0" ref="D17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362-354: SEM_COMUM
362-458: SEM_COMUM
362-495: SEM_COMUM</t>
      </text>
    </comment>
    <comment authorId="0" ref="E17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354-362: SEM_COMUM
354-458: SEM_COMUM
354-495: SEM_COMUM</t>
      </text>
    </comment>
    <comment authorId="0" ref="F17">
      <text>
        <t xml:space="preserve">Domínio: Web
Ecossistema: Spring Boot
Linguagens: Java
Match (requisitos do projeto):
DOM: M (0/2)[] S (1/1)[web] C (0/1)[]
ECO: M (0/1)[] S (0/3)[] C (0/1)[]
LING: M (0/2)[] S (0/1)[] C (1/2)[java]
Colaboração (somente com membros desta equipe):
495-354: SEM_COMUM
495-362: SEM_COMUM
495-458: SEM_COMUM</t>
      </text>
    </comment>
    <comment authorId="0" ref="G17">
      <text>
        <t xml:space="preserve">Domínio: Mobile
Ecossistema: iOS/iPadOS
Linguagens: Swift
Match (requisitos do projeto):
DOM: M (0/2)[] S (0/1)[] C (0/1)[]
ECO: M (0/1)[] S (0/3)[] C (0/1)[]
LING: M (0/2)[] S (0/1)[] C (0/2)[]
Colaboração (somente com membros desta equipe):
458-354: SEM_COMUM
458-362: SEM_COMUM
458-495: SEM_COMUM</t>
      </text>
    </comment>
    <comment authorId="0" ref="D9">
      <text>
        <t xml:space="preserve">Domínio: Web
Ecossistema: Angular
Linguagens: TypeScript
Match (requisitos do projeto):
DOM: M (0/1)[] S (1/1)[web] C (0/1)[]
ECO: M (0/2)[] S (0/1)[] C (0/1)[]
LING: M (0/2)[] S (1/2)[typescript] C (0/2)[]
Colaboração (somente com membros desta equipe):
270-411: SEM_COMUM
270-479: SEM_COMUM
270-503: SEM_COMUM</t>
      </text>
    </comment>
    <comment authorId="0" ref="E9">
      <text>
        <t xml:space="preserve">Domínio: Web
Ecossistema: Spring Boot
Linguagens: Java
Match (requisitos do projeto):
DOM: M (0/1)[] S (1/1)[web] C (0/1)[]
ECO: M (0/2)[] S (0/1)[] C (0/1)[]
LING: M (0/2)[] S (0/2)[] C (1/2)[java]
Colaboração (somente com membros desta equipe):
411-270: P82(,osf=0.567,slf=0.737) | 411-479: P179(,osf=0.489,slf=0.711) | 411-503: P145(,osf=0.612,slf=0.871); P177(,osf=0.340,slf=0.621); P284(,osf=0.383,slf=0.553)
411-479: SEM_COMUM
411-503: SEM_COMUM</t>
      </text>
    </comment>
    <comment authorId="0" ref="F9">
      <text>
        <t xml:space="preserve">Domínio: Web
Ecossistema: Angular
Linguagens: TypeScript
Match (requisitos do projeto):
DOM: M (0/1)[] S (1/1)[web] C (0/1)[]
ECO: M (0/2)[] S (0/1)[] C (0/1)[]
LING: M (0/2)[] S (1/2)[typescript] C (0/2)[]
Colaboração (somente com membros desta equipe):
479-270: SEM_COMUM
479-411: P179(,osf=0.489,slf=0.711)
479-503: SEM_COMUM</t>
      </text>
    </comment>
    <comment authorId="0" ref="G9">
      <text>
        <t xml:space="preserve">Domínio: Web
Ecossistema: React
Linguagens: JavaScript
Match (requisitos do projeto):
DOM: M (0/1)[] S (1/1)[web] C (0/1)[]
ECO: M (0/2)[] S (1/1)[react] C (0/1)[]
LING: M (0/2)[] S (1/2)[javascript] C (0/2)[]
Colaboração (somente com membros desta equipe):
503-270: SEM_COMUM
503-411: SEM_COMUM
503-479: SEM_COMUM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A equipe cobriu 100% de TODOS os MUST?</t>
      </text>
    </comment>
    <comment authorId="0" ref="R1">
      <text>
        <t xml:space="preserve">O que está faltando nos MUST (em número)?</t>
      </text>
    </comment>
  </commentList>
</comments>
</file>

<file path=xl/sharedStrings.xml><?xml version="1.0" encoding="utf-8"?>
<sst xmlns="http://schemas.openxmlformats.org/spreadsheetml/2006/main" count="2448" uniqueCount="787">
  <si>
    <t>Como preencher a aba “Ranking_Expert”:
1. Em projeto_id, escolha um dos projetos (P1…P5). O nome do projeto aparece automaticamente ao lado.
2. Em rank_expert, escolha o ranking da equipe:
2.1. 1 = melhor equipe que você montaria hoje para esse projeto,
2.2. 2 = segunda melhor alternativa, … até 5.
3. Em nota_global, atribua uma nota de 1 a 5 para a equipe, considerando quão boa ela é para o projeto.
4. Em observações, escreva livremente os critérios usados e comentário que julgar importante.
5. Para cada projeto (P1…P5), preencha até 5 equipes (rank 1 a 5), onde 1 é a melhor e 5 a pior.</t>
  </si>
  <si>
    <t>OSF</t>
  </si>
  <si>
    <t xml:space="preserve">Fator de sucesso objetivo </t>
  </si>
  <si>
    <t>Ex.: NPS</t>
  </si>
  <si>
    <t>SLF</t>
  </si>
  <si>
    <t>Fator de liderança subjetiva (a nível de equipe)</t>
  </si>
  <si>
    <t>Ex.: Time avalia sua liderança na equipe</t>
  </si>
  <si>
    <t>id</t>
  </si>
  <si>
    <t>nome_apelido</t>
  </si>
  <si>
    <t>dominio</t>
  </si>
  <si>
    <t>ecossistema</t>
  </si>
  <si>
    <t>linguagens</t>
  </si>
  <si>
    <t>resumo_projetos_em_comum_na_equipe</t>
  </si>
  <si>
    <t>projeto_id</t>
  </si>
  <si>
    <t>nome</t>
  </si>
  <si>
    <t>Dev5</t>
  </si>
  <si>
    <t>Mobile</t>
  </si>
  <si>
    <t>descricao_curta</t>
  </si>
  <si>
    <t>Android</t>
  </si>
  <si>
    <t>Kotlin</t>
  </si>
  <si>
    <t>5-263: P179(,osf=0.489,slf=0.711) | 5-468: P82(,osf=0.567,slf=0.737) | 5-503: P145(,osf=0.612,slf=0.871); P177(,osf=0.340,slf=0.621); P213(,osf=0.312,slf=0.608); P216(,osf=0.401,slf=0.341); P279(,osf=0.594,slf=0.422)</t>
  </si>
  <si>
    <t>Dev7</t>
  </si>
  <si>
    <t>Web</t>
  </si>
  <si>
    <t>React</t>
  </si>
  <si>
    <t>JavaScript</t>
  </si>
  <si>
    <t>7-193: P82(,osf=0.567,slf=0.737); P85(,osf=0.784,slf=0.538) | 7-194: P40(,osf=0.733,slf=0.373); P82(,osf=0.567,slf=0.737); P85(,osf=0.784,slf=0.538)</t>
  </si>
  <si>
    <t>Dev8</t>
  </si>
  <si>
    <t>dominio_must</t>
  </si>
  <si>
    <t>IoT</t>
  </si>
  <si>
    <t>8-142: P104(,osf=0.636,slf=0.624); P175(,osf=0.716,slf=0.339); P205(,osf=0.588,slf=0.465); P92(,osf=0.849,slf=0.891) | 8-290: P175(,osf=0.716,slf=0.339); P205(,osf=0.588,slf=0.465); P92(,osf=0.849,slf=0.891)</t>
  </si>
  <si>
    <t>Dev27</t>
  </si>
  <si>
    <t>27-363: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</t>
  </si>
  <si>
    <t>Dev29</t>
  </si>
  <si>
    <t>Vue</t>
  </si>
  <si>
    <t>29-524: P106(,osf=0.303,slf=0.349); P262(,osf=0.819,slf=0.404)</t>
  </si>
  <si>
    <t>Dev33</t>
  </si>
  <si>
    <t>Android, CouchDB, iOS/iPadOS</t>
  </si>
  <si>
    <t>SEM_HISTORICO_COMUM_COM_MEMBROS_DA_EQUIPE_NA_AMOSTRA</t>
  </si>
  <si>
    <t>Dev36</t>
  </si>
  <si>
    <t>36-181: P82(,osf=0.567,slf=0.737)</t>
  </si>
  <si>
    <t>dominio_should</t>
  </si>
  <si>
    <t>Dev38</t>
  </si>
  <si>
    <t>dominio_could</t>
  </si>
  <si>
    <t>iOS/iPadOS</t>
  </si>
  <si>
    <t>ecossistema_must</t>
  </si>
  <si>
    <t>ecossistema_should</t>
  </si>
  <si>
    <t>ecossistema_could</t>
  </si>
  <si>
    <t>linguagens_must</t>
  </si>
  <si>
    <t>38-225: P82(,osf=0.567,slf=0.737)</t>
  </si>
  <si>
    <t>linguagens_should</t>
  </si>
  <si>
    <t>linguagens_could</t>
  </si>
  <si>
    <t>Dev62</t>
  </si>
  <si>
    <t>projeto e requisitos</t>
  </si>
  <si>
    <t>MongoDB, iOS/iPadOS</t>
  </si>
  <si>
    <t>equipe_id</t>
  </si>
  <si>
    <t>62-415: P85(,osf=0.784,slf=0.538)</t>
  </si>
  <si>
    <t>dev1</t>
  </si>
  <si>
    <t>dev2</t>
  </si>
  <si>
    <t>Dev71</t>
  </si>
  <si>
    <t>IoT, Web</t>
  </si>
  <si>
    <t>dev3</t>
  </si>
  <si>
    <t>dev4</t>
  </si>
  <si>
    <t>HTML, JavaScript, Python</t>
  </si>
  <si>
    <t>rank_expert</t>
  </si>
  <si>
    <t>P_</t>
  </si>
  <si>
    <t>nota_global</t>
  </si>
  <si>
    <t>&lt;nome_do_projeto&gt;</t>
  </si>
  <si>
    <t>observações</t>
  </si>
  <si>
    <t>Dev81</t>
  </si>
  <si>
    <t>team_match_summary</t>
  </si>
  <si>
    <t>81-104: P69(,osf=0.478,slf=0.301)</t>
  </si>
  <si>
    <t>DOM_M</t>
  </si>
  <si>
    <t>DOM_S</t>
  </si>
  <si>
    <t>Dev93</t>
  </si>
  <si>
    <t>Desktop</t>
  </si>
  <si>
    <t>DOM_C</t>
  </si>
  <si>
    <t>.NET</t>
  </si>
  <si>
    <t>C#</t>
  </si>
  <si>
    <t>ECO_M</t>
  </si>
  <si>
    <t>93-270: P82(,osf=0.567,slf=0.737) | 93-292: P82(,osf=0.567,slf=0.737) | 93-437: P158(,osf=0.670,slf=0.322); P82(,osf=0.567,slf=0.737); P85(,osf=0.784,slf=0.538)</t>
  </si>
  <si>
    <t>ECO_S</t>
  </si>
  <si>
    <t>P1</t>
  </si>
  <si>
    <t>ECO_C</t>
  </si>
  <si>
    <t>LING_M</t>
  </si>
  <si>
    <t>LING_S</t>
  </si>
  <si>
    <t>Dev103</t>
  </si>
  <si>
    <t>Angular</t>
  </si>
  <si>
    <t>TypeScript</t>
  </si>
  <si>
    <t>LING_C</t>
  </si>
  <si>
    <t>103-544: P82(,osf=0.567,slf=0.737); P85(,osf=0.784,slf=0.538)</t>
  </si>
  <si>
    <t>Dev104</t>
  </si>
  <si>
    <t>104-81: P69(,osf=0.478,slf=0.301)</t>
  </si>
  <si>
    <t>Dev115</t>
  </si>
  <si>
    <t>Node.js</t>
  </si>
  <si>
    <t>.NET Corporate Portal Maintainance</t>
  </si>
  <si>
    <t>Internal corporate portal in .NET, with both desktop and web components, critical for administrative routines. Objective: fix bugs, improve performance, and gradually modernize the front-end without disrupting operations.</t>
  </si>
  <si>
    <t>Dev119</t>
  </si>
  <si>
    <t>Desktop, Web</t>
  </si>
  <si>
    <t>Cloud</t>
  </si>
  <si>
    <t>Swift</t>
  </si>
  <si>
    <t>MongoDB</t>
  </si>
  <si>
    <t>JavaScript, TypeScript</t>
  </si>
  <si>
    <t>Python</t>
  </si>
  <si>
    <t>119-193: P82(,osf=0.567,slf=0.737) | 119-399: P82(,osf=0.567,slf=0.737)</t>
  </si>
  <si>
    <t>P2</t>
  </si>
  <si>
    <t>Dev142</t>
  </si>
  <si>
    <t>Hybrid Mobile App with Web Panel</t>
  </si>
  <si>
    <t>142-8: P104(,osf=0.636,slf=0.624); P175(,osf=0.716,slf=0.339); P205(,osf=0.588,slf=0.465); P92(,osf=0.849,slf=0.891) | 142-290: P175(,osf=0.716,slf=0.339); P205(,osf=0.588,slf=0.465); P242(,osf=0.558,slf=0.665); P253(,osf=0.540,slf=0.837); P71(,osf=0.523,slf=0.674); P79(,osf=0.323,slf=0.442); P82(,osf=0.567,slf=0.737); P85(,osf=0.784,slf=0.538); P92(,osf=0.849,slf=0.891)</t>
  </si>
  <si>
    <t>Mobile application for Android and iOS consuming an existing backend, with a simple web panel for support. Focus on UX, good cross-platform communication, and stable backend integration.</t>
  </si>
  <si>
    <t>MUST_OK</t>
  </si>
  <si>
    <t>Dev143</t>
  </si>
  <si>
    <t>FALTAS_MUST</t>
  </si>
  <si>
    <t>Android, iOS/iPadOS</t>
  </si>
  <si>
    <t>AWS Lambda</t>
  </si>
  <si>
    <t>TOTAL_FALTAS_MUST</t>
  </si>
  <si>
    <t>Kotlin, Swift</t>
  </si>
  <si>
    <t>143-370: P68(,osf=0.644,slf=0.857)</t>
  </si>
  <si>
    <t>Java, C#</t>
  </si>
  <si>
    <t>note_dev1</t>
  </si>
  <si>
    <t>note_dev2</t>
  </si>
  <si>
    <t>note_dev3</t>
  </si>
  <si>
    <t>Dev145</t>
  </si>
  <si>
    <t>note_dev4</t>
  </si>
  <si>
    <t>JSON, JavaScript</t>
  </si>
  <si>
    <t>P3</t>
  </si>
  <si>
    <t>145-263: P179(,osf=0.489,slf=0.711); P201(,osf=0.535,slf=0.596)</t>
  </si>
  <si>
    <t xml:space="preserve">Cloud IoT Sensor Platform </t>
  </si>
  <si>
    <t>Platform to collect IoT sensor data, process it in the cloud, and display it on a web dashboard. Focus on robust data ingestion, cloud processing, and minimal but functional visualization.</t>
  </si>
  <si>
    <t>Dev154</t>
  </si>
  <si>
    <t>IoT, Cloud</t>
  </si>
  <si>
    <t>React, Angular, MongoDB</t>
  </si>
  <si>
    <t>Python, C++</t>
  </si>
  <si>
    <t>Java, TypeScript</t>
  </si>
  <si>
    <t>Dev169</t>
  </si>
  <si>
    <t>P4</t>
  </si>
  <si>
    <t>Dev174</t>
  </si>
  <si>
    <t>Web Analytic Reports SaaS</t>
  </si>
  <si>
    <t>Web-based SaaS application for generating dashboards and analytical reports using MongoDB data. Emphasis on efficient queries, solid data modeling, and a clear visualization interface.</t>
  </si>
  <si>
    <t>Angular, React</t>
  </si>
  <si>
    <t>Dev181</t>
  </si>
  <si>
    <t>TypeScript, Python</t>
  </si>
  <si>
    <t>181-36: P82(,osf=0.567,slf=0.737)</t>
  </si>
  <si>
    <t>P5</t>
  </si>
  <si>
    <t>Dev193</t>
  </si>
  <si>
    <t>Spring Boot</t>
  </si>
  <si>
    <t>Java</t>
  </si>
  <si>
    <t>Critical Web + Cloud Platform</t>
  </si>
  <si>
    <t>Mission-critical Web + Cloud system with a React front-end, serverless backend on AWS Lambda, and MongoDB database. Requires high reliability, testing, monitoring, and scalability.</t>
  </si>
  <si>
    <t>193-7: P82(,osf=0.567,slf=0.737); P85(,osf=0.784,slf=0.538) | 193-119: P82(,osf=0.567,slf=0.737) | 193-194: P82(,osf=0.567,slf=0.737); P85(,osf=0.784,slf=0.538) | 193-399: P82(,osf=0.567,slf=0.737); P85(,osf=0.784,slf=0.538)</t>
  </si>
  <si>
    <t>Web, Cloud</t>
  </si>
  <si>
    <t>Dev194</t>
  </si>
  <si>
    <t>React, AWS Lambda, MongoDB</t>
  </si>
  <si>
    <t>JavaScript, TypeScript, Python</t>
  </si>
  <si>
    <t>194-7: P40(,osf=0.733,slf=0.373); P82(,osf=0.567,slf=0.737); P85(,osf=0.784,slf=0.538) | 194-193: P82(,osf=0.567,slf=0.737); P85(,osf=0.784,slf=0.538)</t>
  </si>
  <si>
    <t>C#, Java</t>
  </si>
  <si>
    <t>Dev198</t>
  </si>
  <si>
    <t>198-415: P82(,osf=0.567,slf=0.737)</t>
  </si>
  <si>
    <t>Dev205</t>
  </si>
  <si>
    <t>P6</t>
  </si>
  <si>
    <t>205-526: P139(,osf=0.325,slf=0.436)</t>
  </si>
  <si>
    <t>Critical Embedded Hardware Platform</t>
  </si>
  <si>
    <t>Development of an electronic board (PCB) and embedded firmware for a mission-critical device. Includes board design, prototyping, bring-up, drivers, sensor reading/actuator control, bench testing, and validation.</t>
  </si>
  <si>
    <t>Hardware, Embedded</t>
  </si>
  <si>
    <t>PCB, Desenvolvimento de Placa</t>
  </si>
  <si>
    <t>Eletrônica (circuitos lógicos e analógicos)</t>
  </si>
  <si>
    <t>Instrumentação (osciloscópio, analisador lógico), Prototipação</t>
  </si>
  <si>
    <t>C</t>
  </si>
  <si>
    <t xml:space="preserve"> C++ (se tiver firmware mais complexo)</t>
  </si>
  <si>
    <t>Python (scripts de teste/automação de bancada)</t>
  </si>
  <si>
    <t>Dev209</t>
  </si>
  <si>
    <t>Dev225</t>
  </si>
  <si>
    <t>225-38: P82(,osf=0.567,slf=0.737)</t>
  </si>
  <si>
    <t>Dev241</t>
  </si>
  <si>
    <t>Dev250</t>
  </si>
  <si>
    <t>Dev263</t>
  </si>
  <si>
    <t>263-5: P179(,osf=0.489,slf=0.711) | 263-145: P179(,osf=0.489,slf=0.711); P201(,osf=0.535,slf=0.596)</t>
  </si>
  <si>
    <t>Dev265</t>
  </si>
  <si>
    <t>Dev270</t>
  </si>
  <si>
    <t>270-93: P82(,osf=0.567,slf=0.737) | 270-411: P82(,osf=0.567,slf=0.737) | 270-438: P82(,osf=0.567,slf=0.737)</t>
  </si>
  <si>
    <t>Dev283</t>
  </si>
  <si>
    <t>Dev290</t>
  </si>
  <si>
    <t>290-8: P175(,osf=0.716,slf=0.339); P205(,osf=0.588,slf=0.465); P92(,osf=0.849,slf=0.891) | 290-142: P175(,osf=0.716,slf=0.339); P205(,osf=0.588,slf=0.465); P242(,osf=0.558,slf=0.665); P253(,osf=0.540,slf=0.837); P71(,osf=0.523,slf=0.674); P79(,osf=0.323,slf=0.442); P82(,osf=0.567,slf=0.737); P85(,osf=0.784,slf=0.538); P92(,osf=0.849,slf=0.891)</t>
  </si>
  <si>
    <t>Dev292</t>
  </si>
  <si>
    <t>292-93: P82(,osf=0.567,slf=0.737) | 292-437: P82(,osf=0.567,slf=0.737)</t>
  </si>
  <si>
    <t>Dev293</t>
  </si>
  <si>
    <t>293-438: P124(,osf=0.678,slf=0.507); P152(,osf=0.337,slf=0.880)</t>
  </si>
  <si>
    <t>Dev297</t>
  </si>
  <si>
    <t>P1-TEAM0</t>
  </si>
  <si>
    <t>Dev303</t>
  </si>
  <si>
    <t>Dev308</t>
  </si>
  <si>
    <t>Dev316</t>
  </si>
  <si>
    <t>Dev324</t>
  </si>
  <si>
    <t>Dev326</t>
  </si>
  <si>
    <t>326-446: P149(,osf=0.325,slf=0.603); P177(,osf=0.340,slf=0.621)</t>
  </si>
  <si>
    <t>Dev331</t>
  </si>
  <si>
    <t>Dev357</t>
  </si>
  <si>
    <t>Dev363</t>
  </si>
  <si>
    <t>363-27: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 | 363-447: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 | 363-544: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</t>
  </si>
  <si>
    <t>Dev365</t>
  </si>
  <si>
    <t>Dev370</t>
  </si>
  <si>
    <t>370-143: P68(,osf=0.644,slf=0.857)</t>
  </si>
  <si>
    <t>Dev389</t>
  </si>
  <si>
    <t>Dev399</t>
  </si>
  <si>
    <t>399-119: P82(,osf=0.567,slf=0.737) | 399-193: P82(,osf=0.567,slf=0.737); P85(,osf=0.784,slf=0.538)</t>
  </si>
  <si>
    <t>Dev411</t>
  </si>
  <si>
    <t>411-270: P82(,osf=0.567,slf=0.737) | 411-479: P179(,osf=0.489,slf=0.711) | 411-503: P145(,osf=0.612,slf=0.871); P177(,osf=0.340,slf=0.621); P284(,osf=0.383,slf=0.553)</t>
  </si>
  <si>
    <t>Dev415</t>
  </si>
  <si>
    <t>rank_bn</t>
  </si>
  <si>
    <r>
      <rPr>
        <rFont val="Arial"/>
        <b/>
        <color theme="1"/>
      </rPr>
      <t>DOM</t>
    </r>
    <r>
      <rPr>
        <rFont val="Arial"/>
        <color theme="1"/>
      </rPr>
      <t xml:space="preserve"> M(1/2)[web] S(0/1)[] C(1/1)[mobile] | </t>
    </r>
    <r>
      <rPr>
        <rFont val="Arial"/>
        <b/>
        <color theme="1"/>
      </rPr>
      <t>ECO</t>
    </r>
    <r>
      <rPr>
        <rFont val="Arial"/>
        <color theme="1"/>
      </rPr>
      <t xml:space="preserve"> M(0/1)[] S(1/1)[react] C(0/1)[] | </t>
    </r>
    <r>
      <rPr>
        <rFont val="Arial"/>
        <b/>
        <color theme="1"/>
      </rPr>
      <t>LING</t>
    </r>
    <r>
      <rPr>
        <rFont val="Arial"/>
        <color theme="1"/>
      </rPr>
      <t xml:space="preserve"> M(0/1)[] S(1/2)[javascript] C(0/1)[]</t>
    </r>
  </si>
  <si>
    <t>415-62: P85(,osf=0.784,slf=0.538) | 415-198: P82(,osf=0.567,slf=0.737)</t>
  </si>
  <si>
    <t>rank_bn (0.0005)</t>
  </si>
  <si>
    <t>rank_bn sigma=0.01</t>
  </si>
  <si>
    <t>Dev437</t>
  </si>
  <si>
    <t>rank_bn sigma=0.05</t>
  </si>
  <si>
    <t>rank_bn sigma=0.1</t>
  </si>
  <si>
    <t>437-93: P158(,osf=0.670,slf=0.322); P82(,osf=0.567,slf=0.737); P85(,osf=0.784,slf=0.538) | 437-292: P82(,osf=0.567,slf=0.737)</t>
  </si>
  <si>
    <t>rank_bn(0.5)</t>
  </si>
  <si>
    <t>Dev438</t>
  </si>
  <si>
    <t>ae_bn_mean</t>
  </si>
  <si>
    <t>438-270: P82(,osf=0.567,slf=0.737) | 438-293: P124(,osf=0.678,slf=0.507); P152(,osf=0.337,slf=0.880) | 438-558: P85(,osf=0.784,slf=0.538)</t>
  </si>
  <si>
    <t>Dev439</t>
  </si>
  <si>
    <t>rank_expert_adjusted</t>
  </si>
  <si>
    <t>Dev446</t>
  </si>
  <si>
    <t>446-326: P149(,osf=0.325,slf=0.603); P177(,osf=0.340,slf=0.621)</t>
  </si>
  <si>
    <t>Dev447</t>
  </si>
  <si>
    <t>447-363: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</t>
  </si>
  <si>
    <t>Dev461</t>
  </si>
  <si>
    <t>461-558: P183(,osf=0.476,slf=0.842); P184(,osf=0.615,slf=0.450); P188(,osf=0.655,slf=0.631); P219(,osf=0.351,slf=0.534); P269(,osf=0.400,slf=0.408); P274(,osf=0.411,slf=0.591)</t>
  </si>
  <si>
    <t>Dev466</t>
  </si>
  <si>
    <t>Dev468</t>
  </si>
  <si>
    <t>468-5: P82(,osf=0.567,slf=0.737) | 468-508: P196(,osf=0.888,slf=0.339) | 468-516: P82(,osf=0.567,slf=0.737); P85(,osf=0.784,slf=0.538)</t>
  </si>
  <si>
    <t>Dev479</t>
  </si>
  <si>
    <t>479-411: P179(,osf=0.489,slf=0.711)</t>
  </si>
  <si>
    <t>Dev494</t>
  </si>
  <si>
    <t>Dev503</t>
  </si>
  <si>
    <t>503-5: P145(,osf=0.612,slf=0.871); P177(,osf=0.340,slf=0.621); P213(,osf=0.312,slf=0.608); P216(,osf=0.401,slf=0.341); P279(,osf=0.594,slf=0.422) | 503-411: P145(,osf=0.612,slf=0.871); P177(,osf=0.340,slf=0.621); P284(,osf=0.383,slf=0.553)</t>
  </si>
  <si>
    <t>Dev508</t>
  </si>
  <si>
    <t>508-468: P196(,osf=0.888,slf=0.339)</t>
  </si>
  <si>
    <t>Dev509</t>
  </si>
  <si>
    <t>Dev516</t>
  </si>
  <si>
    <t>516-468: P82(,osf=0.567,slf=0.737); P85(,osf=0.784,slf=0.538)</t>
  </si>
  <si>
    <t>Dev518</t>
  </si>
  <si>
    <t>Dev524</t>
  </si>
  <si>
    <t>524-29: P106(,osf=0.303,slf=0.349); P262(,osf=0.819,slf=0.404)</t>
  </si>
  <si>
    <t>Dev526</t>
  </si>
  <si>
    <t>526-205: P139(,osf=0.325,slf=0.436)</t>
  </si>
  <si>
    <t>Dev544</t>
  </si>
  <si>
    <t>544-103: P82(,osf=0.567,slf=0.737); P85(,osf=0.784,slf=0.538) | 544-363: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</t>
  </si>
  <si>
    <t>Dev548</t>
  </si>
  <si>
    <t>Dev558</t>
  </si>
  <si>
    <t>558-438: P85(,osf=0.784,slf=0.538) | 558-461: P183(,osf=0.476,slf=0.842); P184(,osf=0.615,slf=0.450); P188(,osf=0.655,slf=0.631); P219(,osf=0.351,slf=0.534); P269(,osf=0.400,slf=0.408); P274(,osf=0.411,slf=0.591)</t>
  </si>
  <si>
    <t>Dev559</t>
  </si>
  <si>
    <t>Dev562</t>
  </si>
  <si>
    <t>Dev423</t>
  </si>
  <si>
    <t>423-558: P85(,osf=0.784,slf=0.538)</t>
  </si>
  <si>
    <t>Dev391</t>
  </si>
  <si>
    <t>Dev152</t>
  </si>
  <si>
    <t>Dev465</t>
  </si>
  <si>
    <t>Dev362</t>
  </si>
  <si>
    <t>Dev242</t>
  </si>
  <si>
    <t>Dev450</t>
  </si>
  <si>
    <t>Dev161</t>
  </si>
  <si>
    <t>N/A</t>
  </si>
  <si>
    <t>Dev354</t>
  </si>
  <si>
    <t>Domínio: Web
Ecossistema: React
Linguagens: JavaScript
Match (requisitos do projeto):
DOM: M (1/2)[web] S (0/1)[] C (0/1)[]
ECO: M (0/1)[] S (1/1)[react] C (0/1)[]
LING: M (0/1)[] S (1/2)[javascript] C (0/1)[]
Colaboração (somente com membros desta equipe):
169-27: SEM_COMUM
169-81: SEM_COMUM
169-363: SEM_COMUM</t>
  </si>
  <si>
    <t>Dev495</t>
  </si>
  <si>
    <t>Domínio: Web
Ecossistema: nan
Linguagens: JavaScript
Match (requisitos do projeto):
DOM: M (1/2)[web] S (0/1)[] C (0/1)[]
ECO: M (0/1)[] S (0/1)[] C (0/1)[]
LING: M (0/1)[] S (1/2)[javascript] C (0/1)[]
Colaboração (somente com membros desta equipe):
27-81: SEM_COMUM
27-169: SEM_COMUM
27-363: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</t>
  </si>
  <si>
    <t>Domínio: IoT
Ecossistema: nan
Linguagens: JavaScript
Match (requisitos do projeto):
DOM: M (0/2)[] S (0/1)[] C (0/1)[]
ECO: M (0/1)[] S (0/1)[] C (0/1)[]
LING: M (0/1)[] S (1/2)[javascript] C (0/1)[]
Colaboração (somente com membros desta equipe):
81-27: SEM_COMUM
81-169: SEM_COMUM
81-363: SEM_COMUM</t>
  </si>
  <si>
    <t>Dev458</t>
  </si>
  <si>
    <t>Domínio: Mobile
Ecossistema: iOS/iPadOS
Linguagens: Swift
Match (requisitos do projeto):
DOM: M (0/2)[] S (0/1)[] C (1/1)[mobile]
ECO: M (0/1)[] S (0/1)[] C (0/1)[]
LING: M (0/1)[] S (0/2)[] C (0/1)[]
Colaboração (somente com membros desta equipe):
363-27: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 | 363-447: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 | 363-544: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
363-81: SEM_COMUM
363-169: SEM_COMUM</t>
  </si>
  <si>
    <t>Dev16</t>
  </si>
  <si>
    <t>Dev463</t>
  </si>
  <si>
    <t>Dev65</t>
  </si>
  <si>
    <t>IoT;Web</t>
  </si>
  <si>
    <t>C++;Java</t>
  </si>
  <si>
    <t>65-261: P11(,osf=0.460,slf=0.781); P76(,osf=0.821,slf=0.637); P118(,osf=0.593,slf=0.504)</t>
  </si>
  <si>
    <t>Dev63</t>
  </si>
  <si>
    <t>Lua;Java</t>
  </si>
  <si>
    <t>Dev261</t>
  </si>
  <si>
    <t>261-65: P76(,osf=0.821,slf=0.637); P11(,osf=0.460,slf=0.781); P118(,osf=0.593,slf=0.504)</t>
  </si>
  <si>
    <t>Dev335</t>
  </si>
  <si>
    <t>335-508: P196(,osf=0.888,slf=0.339) | 335-193: P85(,osf=0.784,slf=0.538); P82(,osf=0.567,slf=0.737) | 335-36: P82(,osf=0.567,slf=0.737)</t>
  </si>
  <si>
    <t>Dev168</t>
  </si>
  <si>
    <t>Dev568</t>
  </si>
  <si>
    <t>568-463: P184(,osf=0.615,slf=0.450); P272(,osf=0.487,slf=0.637); P274(,osf=0.411,slf=0.591)</t>
  </si>
  <si>
    <t>Dev498</t>
  </si>
  <si>
    <t>498-463: P85(,osf=0.784,slf=0.538); P82(,osf=0.567,slf=0.737) | 498-7: P85(,osf=0.784,slf=0.538); P82(,osf=0.567,slf=0.737)</t>
  </si>
  <si>
    <t>Dev67</t>
  </si>
  <si>
    <t>Dev94</t>
  </si>
  <si>
    <t>94-291: P82(,osf=0.567,slf=0.737)</t>
  </si>
  <si>
    <t>Dev291</t>
  </si>
  <si>
    <t>291-94: P82(,osf=0.567,slf=0.737)</t>
  </si>
  <si>
    <t>P1-TEAM1</t>
  </si>
  <si>
    <t>pior</t>
  </si>
  <si>
    <t>P1-TEAM2</t>
  </si>
  <si>
    <r>
      <rPr>
        <rFont val="Arial"/>
        <b/>
        <color theme="1"/>
      </rPr>
      <t>DOM</t>
    </r>
    <r>
      <rPr>
        <rFont val="Arial"/>
        <color theme="1"/>
      </rPr>
      <t xml:space="preserve"> M(1/2)[web] S(0/1)[] C(0/1)[] |</t>
    </r>
    <r>
      <rPr>
        <rFont val="Arial"/>
        <b/>
        <color theme="1"/>
      </rPr>
      <t xml:space="preserve"> ECO</t>
    </r>
    <r>
      <rPr>
        <rFont val="Arial"/>
        <color theme="1"/>
      </rPr>
      <t xml:space="preserve"> M(0/1)[] S(1/1)[react] C(0/1)[] | </t>
    </r>
    <r>
      <rPr>
        <rFont val="Arial"/>
        <b/>
        <color theme="1"/>
      </rPr>
      <t>LING</t>
    </r>
    <r>
      <rPr>
        <rFont val="Arial"/>
        <color theme="1"/>
      </rPr>
      <t xml:space="preserve"> M(0/1)[] S(2/2)[javascript, typescript] C(1/1)[python]</t>
    </r>
  </si>
  <si>
    <t>P1-TEAM3</t>
  </si>
  <si>
    <t>melhor</t>
  </si>
  <si>
    <t>P1-TEAM4</t>
  </si>
  <si>
    <t>P2-TEAM0</t>
  </si>
  <si>
    <t>a melhor do expert ficou em 2o na  RB</t>
  </si>
  <si>
    <r>
      <rPr>
        <rFont val="Arial"/>
        <b/>
        <color theme="1"/>
      </rPr>
      <t>DOM</t>
    </r>
    <r>
      <rPr>
        <rFont val="Arial"/>
        <color theme="1"/>
      </rPr>
      <t xml:space="preserve"> M(1/2)[web] S(0/1)[] C(1/1)[mobile] | </t>
    </r>
    <r>
      <rPr>
        <rFont val="Arial"/>
        <b/>
        <color theme="1"/>
      </rPr>
      <t>ECO</t>
    </r>
    <r>
      <rPr>
        <rFont val="Arial"/>
        <color theme="1"/>
      </rPr>
      <t xml:space="preserve"> M(0/1)[] S(1/1)[react] C(0/1)[] | </t>
    </r>
    <r>
      <rPr>
        <rFont val="Arial"/>
        <b/>
        <color theme="1"/>
      </rPr>
      <t>LING</t>
    </r>
    <r>
      <rPr>
        <rFont val="Arial"/>
        <color theme="1"/>
      </rPr>
      <t xml:space="preserve"> M(0/1)[] S(1/2)[javascript] C(0/1)[]</t>
    </r>
  </si>
  <si>
    <t>P2-TEAM1</t>
  </si>
  <si>
    <t>P2-TEAM2</t>
  </si>
  <si>
    <t>Domínio: Mobile
Ecossistema: Android
Linguagens: Kotlin
Match (requisitos do projeto):
DOM: M (0/2)[] S (0/1)[] C (1/1)[mobile]
ECO: M (0/1)[] S (0/1)[] C (0/1)[]
LING: M (0/1)[] S (0/2)[] C (0/1)[]
Colaboração (somente com membros desta equipe):
205-363: SEM_COMUM
205-447: SEM_COMUM
205-526: P139(,osf=0.325,slf=0.436)</t>
  </si>
  <si>
    <t>Domínio: Web
Ecossistema: React
Linguagens: JavaScript
Match (requisitos do projeto):
DOM: M (1/2)[web] S (0/1)[] C (0/1)[]
ECO: M (0/1)[] S (1/1)[react] C (0/1)[]
LING: M (0/1)[] S (1/2)[javascript] C (0/1)[]
Colaboração (somente com membros desta equipe):
526-205: P139(,osf=0.325,slf=0.436)
526-363: SEM_COMUM
526-447: SEM_COMUM</t>
  </si>
  <si>
    <t>Domínio: Mobile
Ecossistema: iOS/iPadOS
Linguagens: Swift
Match (requisitos do projeto):
DOM: M (0/2)[] S (0/1)[] C (1/1)[mobile]
ECO: M (0/1)[] S (0/1)[] C (0/1)[]
LING: M (0/1)[] S (0/2)[] C (0/1)[]
Colaboração (somente com membros desta equipe):
363-205: SEM_COMUM
363-447: SEM_COMUM
363-526: SEM_COMUM</t>
  </si>
  <si>
    <t>Domínio: Mobile
Ecossistema: iOS/iPadOS
Linguagens: Swift
Match (requisitos do projeto):
DOM: M (0/2)[] S (0/1)[] C (1/1)[mobile]
ECO: M (0/1)[] S (0/1)[] C (0/1)[]
LING: M (0/1)[] S (0/2)[] C (0/1)[]
Colaboração (somente com membros desta equipe):
447-205: SEM_COMUM
447-363: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
447-526: SEM_COMUM</t>
  </si>
  <si>
    <t>P2-TEAM3</t>
  </si>
  <si>
    <r>
      <rPr>
        <rFont val="Arial"/>
        <b/>
        <color theme="1"/>
      </rPr>
      <t>DOM</t>
    </r>
    <r>
      <rPr>
        <rFont val="Arial"/>
        <color theme="1"/>
      </rPr>
      <t xml:space="preserve"> M(2/2)[desktop, web] S(0/1)[] C(0/1)[] | </t>
    </r>
    <r>
      <rPr>
        <rFont val="Arial"/>
        <b/>
        <color theme="1"/>
      </rPr>
      <t>ECO</t>
    </r>
    <r>
      <rPr>
        <rFont val="Arial"/>
        <color theme="1"/>
      </rPr>
      <t xml:space="preserve"> M(1/1)[.net] S(0/1)[] C(0/1)[] | </t>
    </r>
    <r>
      <rPr>
        <rFont val="Arial"/>
        <b/>
        <color theme="1"/>
      </rPr>
      <t>LING</t>
    </r>
    <r>
      <rPr>
        <rFont val="Arial"/>
        <color theme="1"/>
      </rPr>
      <t xml:space="preserve"> M(1/1)[c#] S(2/2)[javascript, typescript] C(0/1)[]</t>
    </r>
  </si>
  <si>
    <t>o pior do expert ficou empatado em 2o na RB</t>
  </si>
  <si>
    <t>P2-TEAM4</t>
  </si>
  <si>
    <t>P3-TEAM0</t>
  </si>
  <si>
    <t>Domínio: nan
Ecossistema: Android, CouchDB, iOS/iPadOS
Linguagens: JavaScript
Match (requisitos do projeto):
DOM: M (0/2)[] S (0/1)[] C (0/1)[]
ECO: M (0/1)[] S (0/1)[] C (0/1)[]
LING: M (0/1)[] S (1/2)[javascript] C (0/1)[]
Colaboração (somente com membros desta equipe):
33-93: SEM_COMUM
33-270: SEM_COMUM
33-303: SEM_COMUM</t>
  </si>
  <si>
    <t>Domínio: Desktop
Ecossistema: .NET
Linguagens: C#
Match (requisitos do projeto):
DOM: M (1/2)[desktop] S (0/1)[] C (0/1)[]
ECO: M (1/1)[.net] S (0/1)[] C (0/1)[]
LING: M (1/1)[c#] S (0/2)[] C (0/1)[]
Colaboração (somente com membros desta equipe):
303-33: SEM_COMUM
303-93: SEM_COMUM
303-270: SEM_COMUM</t>
  </si>
  <si>
    <t>Domínio: Web
Ecossistema: Angular
Linguagens: TypeScript
Match (requisitos do projeto):
DOM: M (1/2)[web] S (0/1)[] C (0/1)[]
ECO: M (0/1)[] S (0/1)[] C (0/1)[]
LING: M (0/1)[] S (1/2)[typescript] C (0/1)[]
Colaboração (somente com membros desta equipe):
270-33: SEM_COMUM
270-93: P82(,osf=0.567,slf=0.737) | 270-411: P82(,osf=0.567,slf=0.737) | 270-438: P82(,osf=0.567,slf=0.737)
270-303: SEM_COMUM</t>
  </si>
  <si>
    <t>Domínio: Desktop
Ecossistema: .NET
Linguagens: C#
Match (requisitos do projeto):
DOM: M (1/2)[desktop] S (0/1)[] C (0/1)[]
ECO: M (1/1)[.net] S (0/1)[] C (0/1)[]
LING: M (1/1)[c#] S (0/2)[] C (0/1)[]
Colaboração (somente com membros desta equipe):
93-33: SEM_COMUM
93-270: P82(,osf=0.567,slf=0.737) | 93-292: P82(,osf=0.567,slf=0.737) | 93-437: P158(,osf=0.670,slf=0.322); P82(,osf=0.567,slf=0.737); P85(,osf=0.784,slf=0.538)
93-303: SEM_COMUM</t>
  </si>
  <si>
    <r>
      <rPr>
        <rFont val="Arial"/>
        <b/>
        <color theme="1"/>
      </rPr>
      <t>DOM</t>
    </r>
    <r>
      <rPr>
        <rFont val="Arial"/>
        <color theme="1"/>
      </rPr>
      <t xml:space="preserve"> M(1/2)[web] S(0/1)[] C(1/1)[mobile] | </t>
    </r>
    <r>
      <rPr>
        <rFont val="Arial"/>
        <b/>
        <color theme="1"/>
      </rPr>
      <t>ECO</t>
    </r>
    <r>
      <rPr>
        <rFont val="Arial"/>
        <color theme="1"/>
      </rPr>
      <t xml:space="preserve"> M(0/1)[] S(1/1)[react] C(0/1)[] | </t>
    </r>
    <r>
      <rPr>
        <rFont val="Arial"/>
        <b/>
        <color theme="1"/>
      </rPr>
      <t>LING</t>
    </r>
    <r>
      <rPr>
        <rFont val="Arial"/>
        <color theme="1"/>
      </rPr>
      <t xml:space="preserve"> M(0/1)[] S(1/2)[javascript] C(0/1)[]</t>
    </r>
  </si>
  <si>
    <t>P3-TEAM1</t>
  </si>
  <si>
    <t>pior bateu, mas como 4 equipes tinham uma cobertura muito ruim, ficou um cenário de difícil avaliação pq 4 equipes a RB avaliou com o mesmo score (0.11), ou seja, sem muita diversificação</t>
  </si>
  <si>
    <t>Domínio: Web
Ecossistema: Node.js
Linguagens: JavaScript
Match (requisitos do projeto):
DOM: M (1/2)[web] S (0/1)[] C (0/1)[]
ECO: M (0/1)[] S (0/1)[] C (0/1)[]
LING: M (0/1)[] S (1/2)[javascript] C (0/1)[]
Colaboração (somente com membros desta equipe):
316-308: SEM_COMUM
316-389: SEM_COMUM
316-526: SEM_COMUM</t>
  </si>
  <si>
    <t>Domínio: Mobile
Ecossistema: Android
Linguagens: Kotlin
Match (requisitos do projeto):
DOM: M (0/2)[] S (0/1)[] C (1/1)[mobile]
ECO: M (0/1)[] S (0/1)[] C (0/1)[]
LING: M (0/1)[] S (0/2)[] C (0/1)[]
Colaboração (somente com membros desta equipe):
389-308: SEM_COMUM
389-316: SEM_COMUM
389-526: SEM_COMUM</t>
  </si>
  <si>
    <t>P3-TEAM2</t>
  </si>
  <si>
    <t>Domínio: Web
Ecossistema: React
Linguagens: JavaScript
Match (requisitos do projeto):
DOM: M (1/2)[web] S (0/1)[] C (0/1)[]
ECO: M (0/1)[] S (1/1)[react] C (0/1)[]
LING: M (0/1)[] S (1/2)[javascript] C (0/1)[]
Colaboração (somente com membros desta equipe):
526-308: SEM_COMUM
526-316: SEM_COMUM
526-389: SEM_COMUM</t>
  </si>
  <si>
    <t>Domínio: Web
Ecossistema: React
Linguagens: JavaScript
Match (requisitos do projeto):
DOM: M (1/2)[web] S (0/1)[] C (0/1)[]
ECO: M (0/1)[] S (1/1)[react] C (0/1)[]
LING: M (0/1)[] S (1/2)[javascript] C (0/1)[]
Colaboração (somente com membros desta equipe):
308-316: SEM_COMUM
308-389: SEM_COMUM
308-526: SEM_COMUM</t>
  </si>
  <si>
    <t>P3-TEAM3</t>
  </si>
  <si>
    <t>Project</t>
  </si>
  <si>
    <t>Team</t>
  </si>
  <si>
    <t>Devs</t>
  </si>
  <si>
    <t>P3-TEAM4</t>
  </si>
  <si>
    <t>Cobertura técnica: DOM/ ECO/ LING  | M=Must S=Should C=Could | ex: M2/3 = cobre 2 de 3 techs | AC = Aptidão Colaborativa: VL-VH</t>
  </si>
  <si>
    <t>Computed AE</t>
  </si>
  <si>
    <t>Rank Expert</t>
  </si>
  <si>
    <t>Rank BN</t>
  </si>
  <si>
    <t>Δ (BN−Exp)</t>
  </si>
  <si>
    <t>Agreement?</t>
  </si>
  <si>
    <t>Who is right?</t>
  </si>
  <si>
    <t xml:space="preserve"> Dominant criterion</t>
  </si>
  <si>
    <t>Observation</t>
  </si>
  <si>
    <t>DOM M(1/1)[mobile] S(1/1)[web] C(0/1)[] | ECO M(1/2)[ios/ipados] S(0/1)[] C(1/1)[.net] | LING M(1/2)[swift] S(1/2)[javascript] C(1/2)[c#]</t>
  </si>
  <si>
    <t>P4-TEAM0</t>
  </si>
  <si>
    <t>Dev169, Dev27, Dev81, Dev363</t>
  </si>
  <si>
    <t>P1-TEAM0  → DOM M1/2 S0/1 C1/1 | ECO M0/1 S1/1 C0/1 | LING M0/1 S1/2 C0/1 | AC L</t>
  </si>
  <si>
    <t>❌ Não</t>
  </si>
  <si>
    <t>Dev71, Dev518, Dev509, Dev439</t>
  </si>
  <si>
    <t>P1-TEAM1  → DOM M1/2 S0/1 C0/1 | ECO M0/1 S1/1 C0/1 | LING M0/1 S2/2 C1/1 | AC VL</t>
  </si>
  <si>
    <t>Dev205, Dev526, Dev363, Dev447</t>
  </si>
  <si>
    <t>P1-TEAM2  → DOM M1/2 S0/1 C1/1 | ECO M0/1 S1/1 C0/1 | LING M0/1 S1/2 C0/1 | AC L</t>
  </si>
  <si>
    <t>✅ Sim</t>
  </si>
  <si>
    <t>—</t>
  </si>
  <si>
    <t>Domínio: Desktop
Ecossistema: .NET
Linguagens: C#
Match (requisitos do projeto):
DOM: M (0/1)[] S (0/1)[] C (0/1)[]
ECO: M (0/2)[] S (0/1)[] C (1/1)[.net]
LING: M (0/2)[] S (0/2)[] C (1/2)[c#]
Colaboração (somente com membros desta equipe):
466-93: SEM_COMUM
466-292: SEM_COMUM
466-437: SEM_COMUM</t>
  </si>
  <si>
    <t>Dev33, Dev303, Dev270, Dev93</t>
  </si>
  <si>
    <t>P1-TEAM3  → DOM M2/2 S1/1 C0/1 | ECO M1/1 S0/1 C0/1 | LING M1/1 S2/2 C1/1 | AC L</t>
  </si>
  <si>
    <t>Domínio: Desktop
Ecossistema: .NET
Linguagens: C#
Match (requisitos do projeto):
DOM: M (0/1)[] S (0/1)[] C (0/1)[]
ECO: M (0/2)[] S (0/1)[] C (1/1)[.net]
LING: M (0/2)[] S (0/2)[] C (1/2)[c#]
Colaboração (somente com membros desta equipe):
93-292: SEM_COMUM
93-437: SEM_COMUM
93-466: SEM_COMUM</t>
  </si>
  <si>
    <t>Domínio: Mobile
Ecossistema: iOS/iPadOS
Linguagens: Swift
Match (requisitos do projeto):
DOM: M (1/1)[mobile] S (0/1)[] C (0/1)[]
ECO: M (1/2)[ios/ipados] S (0/1)[] C (0/1)[]
LING: M (1/2)[swift] S (0/2)[] C (0/2)[]
Colaboração (somente com membros desta equipe):
437-93: P158(,osf=0.670,slf=0.322); P82(,osf=0.567,slf=0.737); P85(,osf=0.784,slf=0.538) | 437-292: P82(,osf=0.567,slf=0.737)
437-292: SEM_COMUM
437-466: SEM_COMUM</t>
  </si>
  <si>
    <t>Domínio: Web
Ecossistema: Node.js
Linguagens: JavaScript
Match (requisitos do projeto):
DOM: M (0/1)[] S (1/1)[web] C (0/1)[]
ECO: M (0/2)[] S (0/1)[] C (0/1)[]
LING: M (0/2)[] S (1/2)[javascript] C (0/2)[]
Colaboração (somente com membros desta equipe):
292-93: P82(,osf=0.567,slf=0.737) | 292-437: P82(,osf=0.567,slf=0.737)
292-437: SEM_COMUM
292-466: SEM_COMUM</t>
  </si>
  <si>
    <t>P4-TEAM1</t>
  </si>
  <si>
    <t>Dev316, Dev389, Dev526, Dev308</t>
  </si>
  <si>
    <t>P1-TEAM4  → DOM M1/2 S0/1 C1/1 | ECO M0/1 S1/1 C0/1 | LING M0/1 S1/2 C0/1 | AC VL</t>
  </si>
  <si>
    <t>Dev466, Dev93, Dev437, Dev292</t>
  </si>
  <si>
    <t>P2-TEAM0  → DOM M1/1 S1/1 C1/1 | ECO M2/3 S0/1 C1/1 | LING M1/2 S1/2 C1/2 | AC M</t>
  </si>
  <si>
    <t>Dev270, Dev411, Dev479, Dev503</t>
  </si>
  <si>
    <t>P2-TEAM1  → DOM M0/1 S1/1 C0/1 | ECO M0/3 S1/1 C0/1 | LING M0/2 S2/2 C1/2 | AC M</t>
  </si>
  <si>
    <t>P4-TEAM2</t>
  </si>
  <si>
    <t>Dev115, Dev119, Dev399, Dev193</t>
  </si>
  <si>
    <t>P2-TEAM2  → DOM M1/1 S1/1 C0/1 | ECO M2/3 S0/1 C1/1 | LING M1/2 S1/2 C2/2 | AC M</t>
  </si>
  <si>
    <t>Dev468, Dev263, Dev503, Dev5</t>
  </si>
  <si>
    <t>P2-TEAM3  → DOM M1/1 S1/1 C1/1 | ECO M1/3 S1/1 C0/1 | LING M1/2 S1/2 C0/2 | AC M</t>
  </si>
  <si>
    <t>P4-TEAM3</t>
  </si>
  <si>
    <t>Dev104, Dev363, Dev544, Dev81</t>
  </si>
  <si>
    <t>P2-TEAM4  → DOM M1/1 S0/1 C0/1 | ECO M3/3 S0/1 C0/1 | LING M2/2 S1/2 C0/2 | AC L</t>
  </si>
  <si>
    <t>Dev423, Dev558, Dev494, Dev391</t>
  </si>
  <si>
    <t>P4-TEAM4</t>
  </si>
  <si>
    <t>P3-TEAM0  → DOM M1/2 S1/1 C0/1 | ECO M1/1 S1/3 C1/1 | LING M1/2 S1/1 C0/2 | AC L</t>
  </si>
  <si>
    <t>Dev104, Dev446, Dev152, Dev465</t>
  </si>
  <si>
    <t>P3-TEAM1  → DOM M0/2 S1/1 C0/1 | ECO M0/1 S1/3 C1/1 | LING M0/2 S1/1 C1/2 | AC VL</t>
  </si>
  <si>
    <t>pior não bateu, mas foi a 2a pior equipe da RB</t>
  </si>
  <si>
    <t>Dev362, Dev242, Dev450, Dev161</t>
  </si>
  <si>
    <t>P3-TEAM2  → DOM M0/2 S1/1 C1/1 | ECO M0/1 S1/3 C0/1 | LING M1/2 S1/1 C0/2 | AC VL</t>
  </si>
  <si>
    <t>Dev362, Dev354, Dev495, Dev458</t>
  </si>
  <si>
    <t>P5-TEAM0</t>
  </si>
  <si>
    <t>P3-TEAM3  → DOM M0/2 S1/1 C0/1 | ECO M0/1 S1/3 C0/1 | LING M0/2 S1/1 C1/2 | AC VL</t>
  </si>
  <si>
    <t>Dev439, Dev16, Dev209, Dev463</t>
  </si>
  <si>
    <t>P3-TEAM4  → DOM M0/2 S1/1 C0/1 | ECO M0/1 S1/3 C0/1 | LING M0/2 S1/1 C0/2 | AC VL</t>
  </si>
  <si>
    <t>Dev263, Dev241, Dev303, Dev548</t>
  </si>
  <si>
    <t>P4-TEAM0  → DOM M1/1 S0/1 C1/1 | ECO M0/1 S0/2 C0/1 | LING M1/1 S0/2 C1/2 | AC VL</t>
  </si>
  <si>
    <t>DOM  M[Web, Cloud] S[Mobile] C[Desktop]
ECO  M[React, AWS Lambda, MongoDB] S[.NET] C[Android]
LING M[JavaScript, TypeScript, Python] S[C#, Java] C[Kotlin, Swift]</t>
  </si>
  <si>
    <t>P5-TEAM1</t>
  </si>
  <si>
    <t>Dev145, Dev38, Dev225, Dev263</t>
  </si>
  <si>
    <t>P4-TEAM1  → DOM M1/1 S0/1 C0/1 | ECO M0/1 S1/2 C0/1 | LING M1/1 S0/2 C0/2 | AC L</t>
  </si>
  <si>
    <t>Dev193, Dev194, Dev7, Dev154</t>
  </si>
  <si>
    <t>P4-TEAM2  → DOM M1/1 S1/1 C0/1 | ECO M0/1 S1/2 C1/1 | LING M1/1 S1/2 C1/2 | AC M</t>
  </si>
  <si>
    <t>DOM M(0/1)[] S(1/1)[web] C(0/1)[] | ECO M(0/2)[] S(1/1)[react] C(0/1)[] | LING M(0/2)[] S(2/2)[javascript, typescript] C(1/2)[java]</t>
  </si>
  <si>
    <t>Dev438, Dev270, Dev104, Dev293</t>
  </si>
  <si>
    <t>P4-TEAM3  → DOM M1/1 S1/1 C0/1 | ECO M0/1 S1/2 C1/1 | LING M0/1 S2/2 C0/2 | AC L</t>
  </si>
  <si>
    <t>P5-TEAM2</t>
  </si>
  <si>
    <t>Dev198, Dev415, Dev62, Dev559</t>
  </si>
  <si>
    <t>P4-TEAM4  → DOM M1/1 S0/1 C0/1 | ECO M1/1 S0/2 C0/1 | LING M1/1 S0/2 C0/2 | AC L</t>
  </si>
  <si>
    <t>Dev174, Dev265, Dev524, Dev169</t>
  </si>
  <si>
    <t>P5-TEAM0  → DOM M1/2 S0/1 C1/1 | ECO M1/3 S1/1 C0/1 | LING M1/3 S2/2 C0/2 | AC VL</t>
  </si>
  <si>
    <t>P5-TEAM3</t>
  </si>
  <si>
    <t>Dev438, Dev558, Dev461, Dev297</t>
  </si>
  <si>
    <t>P5-TEAM1  → DOM M2/2 S1/1 C0/1 | ECO M2/3 S0/1 C1/1 | LING M2/3 S0/2 C1/2 | AC L</t>
  </si>
  <si>
    <t>Dev324, Dev439, Dev370, Dev250</t>
  </si>
  <si>
    <t>P5-TEAM2  → DOM M2/2 S1/1 C0/1 | ECO M2/3 S0/1 C1/1 | LING M2/3 S0/2 C2/2 | AC VL</t>
  </si>
  <si>
    <t>Dev331, Dev36, Dev181, Dev494</t>
  </si>
  <si>
    <t>P5-TEAM3  → DOM M1/2 S1/1 C0/1 | ECO M1/3 S0/1 C1/1 | LING M1/3 S0/2 C2/2 | AC L</t>
  </si>
  <si>
    <t>P5-TEAM4</t>
  </si>
  <si>
    <t>Dev479, Dev389, Dev357, Dev316</t>
  </si>
  <si>
    <t>P5-TEAM4  → DOM M1/2 S1/1 C0/1 | ECO M0/3 S0/1 C1/1 | LING M2/3 S0/2 C1/2 | AC VL</t>
  </si>
  <si>
    <t>P6-TEAM0</t>
  </si>
  <si>
    <t>Dev65, Dev71, Dev63, Dev261</t>
  </si>
  <si>
    <t>P6-TEAM0  → DOM M2/2 S1/1 C1/1 | ECO M2/2 S1/1 C3/3 | LING M1/1 S1/1 C1/1 | AC L</t>
  </si>
  <si>
    <t>P6-TEAM1</t>
  </si>
  <si>
    <t>Dev508, Dev193, Dev36, Dev335</t>
  </si>
  <si>
    <t>P6-TEAM1  → DOM M2/2 S1/1 C1/1 | ECO M2/2 S1/1 C3/3 | LING M1/1 S1/1 C1/1 | AC M</t>
  </si>
  <si>
    <t>P6-TEAM2</t>
  </si>
  <si>
    <t>Dev242, Dev168, Dev446, Dev93</t>
  </si>
  <si>
    <t>P6-TEAM2  → DOM M2/2 S1/1 C1/1 | ECO M2/2 S1/1 C3/3 | LING M1/1 S1/1 C1/1 | AC L</t>
  </si>
  <si>
    <t>Domínio: Web
Ecossistema: Angular
Linguagens: TypeScript
Match (requisitos do projeto):
DOM: M (0/1)[] S (1/1)[web] C (0/1)[]
ECO: M (0/2)[] S (0/1)[] C (0/1)[]
LING: M (0/2)[] S (1/2)[typescript] C (0/2)[]
Colaboração (somente com membros desta equipe):
270-411: SEM_COMUM
270-479: SEM_COMUM
270-503: SEM_COMUM</t>
  </si>
  <si>
    <t>P6-TEAM3</t>
  </si>
  <si>
    <t>Dev568, Dev463, Dev7, Dev498</t>
  </si>
  <si>
    <t>Domínio: Web
Ecossistema: Spring Boot
Linguagens: Java
Match (requisitos do projeto):
DOM: M (0/1)[] S (1/1)[web] C (0/1)[]
ECO: M (0/2)[] S (0/1)[] C (0/1)[]
LING: M (0/2)[] S (0/2)[] C (1/2)[java]
Colaboração (somente com membros desta equipe):
411-270: P82(,osf=0.567,slf=0.737) | 411-479: P179(,osf=0.489,slf=0.711) | 411-503: P145(,osf=0.612,slf=0.871); P177(,osf=0.340,slf=0.621); P284(,osf=0.383,slf=0.553)
411-479: SEM_COMUM
411-503: SEM_COMUM</t>
  </si>
  <si>
    <t>P6-TEAM3  → DOM M0/2 S0/1 C0/1 | ECO M0/2 S0/1 C0/3 | LING M0/1 S0/1 C0/1 | AC M</t>
  </si>
  <si>
    <t>Domínio: Web
Ecossistema: Angular
Linguagens: TypeScript
Match (requisitos do projeto):
DOM: M (0/1)[] S (1/1)[web] C (0/1)[]
ECO: M (0/2)[] S (0/1)[] C (0/1)[]
LING: M (0/2)[] S (1/2)[typescript] C (0/2)[]
Colaboração (somente com membros desta equipe):
479-270: SEM_COMUM
479-411: P179(,osf=0.489,slf=0.711)
479-503: SEM_COMUM</t>
  </si>
  <si>
    <t>Domínio: Web
Ecossistema: React
Linguagens: JavaScript
Match (requisitos do projeto):
DOM: M (0/1)[] S (1/1)[web] C (0/1)[]
ECO: M (0/2)[] S (1/1)[react] C (0/1)[]
LING: M (0/2)[] S (1/2)[javascript] C (0/2)[]
Colaboração (somente com membros desta equipe):
503-270: SEM_COMUM
503-411: SEM_COMUM
503-479: SEM_COMUM</t>
  </si>
  <si>
    <t>P6-TEAM4</t>
  </si>
  <si>
    <t>Dev67, Dev94, Dev291, Dev450</t>
  </si>
  <si>
    <t>P6-TEAM4  → DOM M0/2 S0/1 C0/1 | ECO M0/2 S0/1 C0/3 | LING M0/1 S0/1 C0/1 | AC L</t>
  </si>
  <si>
    <t>DOM M(1/1)[mobile] S(1/1)[web] C(0/1)[] | ECO M(1/2)[ios/ipados] S(0/1)[] C(1/1)[.net] | LING M(1/2)[swift] S(1/2)[javascript] C(2/2)[java, c#]</t>
  </si>
  <si>
    <t>DOM M[Hardware, Embedded] S[IoT] C[Cloud]
ECO M[PCB, Desenvolvimento de Placa] S[Eletrônica (circuitos lógicos e analógicos)] C[Instrumentação (osciloscópio, analisador lógico), Prototipação]
LING M[C] S[C++] C[Python]</t>
  </si>
  <si>
    <t>o expert definiu duas equipes como igualmente sendo as piores, a RB concordou que essas 2 equipes são as piores, mas uma sendo um pouco melhor que a outra (diferença de apenas 0.03)</t>
  </si>
  <si>
    <t>Domínio: Web
Ecossistema: Node.js
Linguagens: JavaScript
Match (requisitos do projeto):
DOM: M (0/1)[] S (1/1)[web] C (0/1)[]
ECO: M (0/2)[] S (0/1)[] C (0/1)[]
LING: M (0/2)[] S (1/2)[javascript] C (0/2)[]
Colaboração (somente com membros desta equipe):
115-119: SEM_COMUM
115-193: SEM_COMUM
115-399: SEM_COMUM</t>
  </si>
  <si>
    <t>Domínio: Mobile
Ecossistema: iOS/iPadOS
Linguagens: Swift
Match (requisitos do projeto):
DOM: M (1/1)[mobile] S (0/1)[] C (0/1)[]
ECO: M (1/2)[ios/ipados] S (0/1)[] C (0/1)[]
LING: M (1/2)[swift] S (0/2)[] C (0/2)[]
Colaboração (somente com membros desta equipe):
119-115: SEM_COMUM
119-193: P82(,osf=0.567,slf=0.737) | 119-399: P82(,osf=0.567,slf=0.737)
119-399: SEM_COMUM</t>
  </si>
  <si>
    <t>Domínio: Desktop
Ecossistema: .NET
Linguagens: C#
Match (requisitos do projeto):
DOM: M (0/1)[] S (0/1)[] C (0/1)[]
ECO: M (0/2)[] S (0/1)[] C (1/1)[.net]
LING: M (0/2)[] S (0/2)[] C (1/2)[c#]
Colaboração (somente com membros desta equipe):
399-115: SEM_COMUM
399-119: P82(,osf=0.567,slf=0.737) | 399-193: P82(,osf=0.567,slf=0.737); P85(,osf=0.784,slf=0.538)
399-193: SEM_COMUM</t>
  </si>
  <si>
    <t>Domínio: Web
Ecossistema: Spring Boot
Linguagens: Java
Match (requisitos do projeto):
DOM: M (0/1)[] S (1/1)[web] C (0/1)[]
ECO: M (0/2)[] S (0/1)[] C (0/1)[]
LING: M (0/2)[] S (0/2)[] C (1/2)[java]
Colaboração (somente com membros desta equipe):
193-115: SEM_COMUM
193-119: SEM_COMUM
193-399: SEM_COMUM</t>
  </si>
  <si>
    <t>DOM M(1/1)[mobile] S(1/1)[web] C(1/1)[cloud] | ECO M(1/2)[android] S(1/1)[react] C(0/1)[] | LING M(1/2)[kotlin] S(1/2)[javascript] C(0/2)[]</t>
  </si>
  <si>
    <t>Domínio: Cloud
Ecossistema: AWS Lambda
Linguagens: Python
Match (requisitos do projeto):
DOM: M (0/1)[] S (0/1)[] C (1/1)[cloud]
ECO: M (0/2)[] S (0/1)[] C (0/1)[]
LING: M (0/2)[] S (0/2)[] C (0/2)[]
Colaboração (somente com membros desta equipe):
468-5: P82(,osf=0.567,slf=0.737) | 468-508: P196(,osf=0.888,slf=0.339) | 468-516: P82(,osf=0.567,slf=0.737); P85(,osf=0.784,slf=0.538)
468-263: SEM_COMUM
468-503: SEM_COMUM</t>
  </si>
  <si>
    <t>Domínio: Web
Ecossistema: Vue
Linguagens: JavaScript
Match (requisitos do projeto):
DOM: M (0/1)[] S (1/1)[web] C (0/1)[]
ECO: M (0/2)[] S (0/1)[] C (0/1)[]
LING: M (0/2)[] S (1/2)[javascript] C (0/2)[]
Colaboração (somente com membros desta equipe):
263-5: P179(,osf=0.489,slf=0.711) | 263-145: P179(,osf=0.489,slf=0.711); P201(,osf=0.535,slf=0.596)
263-468: SEM_COMUM
263-503: SEM_COMUM</t>
  </si>
  <si>
    <t>Domínio: Web
Ecossistema: React
Linguagens: JavaScript
Match (requisitos do projeto):
DOM: M (0/1)[] S (1/1)[web] C (0/1)[]
ECO: M (0/2)[] S (1/1)[react] C (0/1)[]
LING: M (0/2)[] S (1/2)[javascript] C (0/2)[]
Colaboração (somente com membros desta equipe):
503-5: P145(,osf=0.612,slf=0.871); P177(,osf=0.340,slf=0.621); P213(,osf=0.312,slf=0.608); P216(,osf=0.401,slf=0.341); P279(,osf=0.594,slf=0.422) | 503-411: P145(,osf=0.612,slf=0.871); P177(,osf=0.340,slf=0.621); P284(,osf=0.383,slf=0.553)
503-263: SEM_COMUM
503-468: SEM_COMUM</t>
  </si>
  <si>
    <t>Domínio: Mobile
Ecossistema: Android
Linguagens: Kotlin
Match (requisitos do projeto):
DOM: M (1/1)[mobile] S (0/1)[] C (0/1)[]
ECO: M (1/2)[android] S (0/1)[] C (0/1)[]
LING: M (1/2)[kotlin] S (0/2)[] C (0/2)[]
Colaboração (somente com membros desta equipe):
5-263: P179(,osf=0.489,slf=0.711) | 5-468: P82(,osf=0.567,slf=0.737) | 5-503: P145(,osf=0.612,slf=0.871); P177(,osf=0.340,slf=0.621); P213(,osf=0.312,slf=0.608); P216(,osf=0.401,slf=0.341); P279(,osf=0.594,slf=0.422)
5-468: SEM_COMUM
5-503: SEM_COMUM</t>
  </si>
  <si>
    <t>DOM M(1/1)[mobile] S(0/1)[] C(0/1)[] | ECO M(2/2)[android, ios/ipados] S(0/1)[] C(0/1)[] | LING M(2/2)[kotlin, swift] S(1/2)[javascript] C(0/2)[]</t>
  </si>
  <si>
    <t>Domínio: Mobile
Ecossistema: Android
Linguagens: Kotlin
Match (requisitos do projeto):
DOM: M (1/1)[mobile] S (0/1)[] C (0/1)[]
ECO: M (1/2)[android] S (0/1)[] C (0/1)[]
LING: M (1/2)[kotlin] S (0/2)[] C (0/2)[]
Colaboração (somente com membros desta equipe):
104-81: P69(,osf=0.478,slf=0.301)
104-363: SEM_COMUM
104-544: SEM_COMUM</t>
  </si>
  <si>
    <t>Domínio: Mobile
Ecossistema: iOS/iPadOS
Linguagens: Swift
Match (requisitos do projeto):
DOM: M (1/1)[mobile] S (0/1)[] C (0/1)[]
ECO: M (1/2)[ios/ipados] S (0/1)[] C (0/1)[]
LING: M (1/2)[swift] S (0/2)[] C (0/2)[]
Colaboração (somente com membros desta equipe):
363-81: SEM_COMUM
363-104: SEM_COMUM
363-544: SEM_COMUM</t>
  </si>
  <si>
    <t>Domínio: Mobile
Ecossistema: iOS/iPadOS
Linguagens: Swift
Match (requisitos do projeto):
DOM: M (1/1)[mobile] S (0/1)[] C (0/1)[]
ECO: M (1/2)[ios/ipados] S (0/1)[] C (0/1)[]
LING: M (1/2)[swift] S (0/2)[] C (0/2)[]
Colaboração (somente com membros desta equipe):
544-81: SEM_COMUM
544-104: SEM_COMUM
544-363: SEM_COMUM</t>
  </si>
  <si>
    <t>Domínio: IoT
Ecossistema: nan
Linguagens: JavaScript
Match (requisitos do projeto):
DOM: M (0/1)[] S (0/1)[] C (0/1)[]
ECO: M (0/2)[] S (0/1)[] C (0/1)[]
LING: M (0/2)[] S (1/2)[javascript] C (0/2)[]
Colaboração (somente com membros desta equipe):
81-104: P69(,osf=0.478,slf=0.301)
81-363: SEM_COMUM
81-544: SEM_COMUM</t>
  </si>
  <si>
    <t>Expert</t>
  </si>
  <si>
    <t>Model</t>
  </si>
  <si>
    <t>Decision</t>
  </si>
  <si>
    <t>DOM M(1/2)[cloud] S(1/1)[web] C(0/1)[] | ECO M(1/1)[aws lambda] S(1/3)[react] C(1/1)[android] | LING M(1/2)[python] S(1/1)[javascript] C(0/2)[]</t>
  </si>
  <si>
    <t>Best team: Team0</t>
  </si>
  <si>
    <t>Best team: Team4</t>
  </si>
  <si>
    <t>Use the model as-is</t>
  </si>
  <si>
    <t>Team3 ranked 2nd</t>
  </si>
  <si>
    <t>Team3 tied with Team2, Team1, Team4 in last (0.11)</t>
  </si>
  <si>
    <t>Team3 ranked 1st, tied with Team1</t>
  </si>
  <si>
    <t>Team3 ranked 2nd (with 0.15 difference for Team1)</t>
  </si>
  <si>
    <t>Team0 ranked 2nd</t>
  </si>
  <si>
    <t>Team0 ranked 5th</t>
  </si>
  <si>
    <t>Team3 &amp; Team4 tied in last</t>
  </si>
  <si>
    <t>Team4 slightly worse</t>
  </si>
  <si>
    <t>Team4 ranked 2nd</t>
  </si>
  <si>
    <t>Team4 tied in last</t>
  </si>
  <si>
    <t>Domínio: Web
Ecossistema: React
Linguagens: JavaScript
Match (requisitos do projeto):
DOM: M (0/2)[] S (1/1)[web] C (0/1)[]
ECO: M (0/1)[] S (1/3)[react] C (0/1)[]
LING: M (0/2)[] S (1/1)[javascript] C (0/2)[]
Colaboração (somente com membros desta equipe):
423-391: SEM_COMUM
423-494: SEM_COMUM
423-558: P85(,osf=0.784,slf=0.538)</t>
  </si>
  <si>
    <t>Domínio: Mobile
Ecossistema: Android
Linguagens: Kotlin
Match (requisitos do projeto):
DOM: M (0/2)[] S (0/1)[] C (0/1)[]
ECO: M (0/1)[] S (0/3)[] C (1/1)[android]
LING: M (0/2)[] S (0/1)[] C (0/2)[]
Colaboração (somente com membros desta equipe):
558-391: SEM_COMUM
558-423: SEM_COMUM
558-494: SEM_COMUM</t>
  </si>
  <si>
    <t>Domínio: Cloud
Ecossistema: AWS Lambda
Linguagens: Python
Match (requisitos do projeto):
DOM: M (1/2)[cloud] S (0/1)[] C (0/1)[]
ECO: M (1/1)[aws lambda] S (0/3)[] C (0/1)[]
LING: M (1/2)[python] S (0/1)[] C (0/2)[]
Colaboração (somente com membros desta equipe):
494-391: SEM_COMUM
494-423: SEM_COMUM
494-558: SEM_COMUM</t>
  </si>
  <si>
    <t>Domínio: Cloud
Ecossistema: AWS Lambda
Linguagens: Python
Match (requisitos do projeto):
DOM: M (1/2)[cloud] S (0/1)[] C (0/1)[]
ECO: M (1/1)[aws lambda] S (0/3)[] C (0/1)[]
LING: M (1/2)[python] S (0/1)[] C (0/2)[]
Colaboração (somente com membros desta equipe):
391-423: SEM_COMUM
391-494: SEM_COMUM
391-558: SEM_COMUM</t>
  </si>
  <si>
    <t>DOM M(0/2)[] S(1/1)[web] C(0/1)[] | ECO M(0/1)[] S(1/3)[react] C(1/1)[android] | LING M(0/2)[] S(1/1)[javascript] C(1/2)[java]</t>
  </si>
  <si>
    <t>Domínio: Mobile
Ecossistema: Android
Linguagens: Kotlin
Match (requisitos do projeto):
DOM: M (0/2)[] S (0/1)[] C (0/1)[]
ECO: M (0/1)[] S (0/3)[] C (1/1)[android]
LING: M (0/2)[] S (0/1)[] C (0/2)[]
Colaboração (somente com membros desta equipe):
104-152: SEM_COMUM
104-446: SEM_COMUM
104-465: SEM_COMUM</t>
  </si>
  <si>
    <t>Domínio: Mobile
Ecossistema: Android
Linguagens: Kotlin
Match (requisitos do projeto):
DOM: M (0/2)[] S (0/1)[] C (0/1)[]
ECO: M (0/1)[] S (0/3)[] C (1/1)[android]
LING: M (0/2)[] S (0/1)[] C (0/2)[]
Colaboração (somente com membros desta equipe):
446-104: SEM_COMUM
446-152: SEM_COMUM
446-465: SEM_COMUM</t>
  </si>
  <si>
    <t>Domínio: Web
Ecossistema: React
Linguagens: JavaScript
Match (requisitos do projeto):
DOM: M (0/2)[] S (1/1)[web] C (0/1)[]
ECO: M (0/1)[] S (1/3)[react] C (0/1)[]
LING: M (0/2)[] S (1/1)[javascript] C (0/2)[]
Colaboração (somente com membros desta equipe):
152-104: SEM_COMUM
152-446: SEM_COMUM
152-465: SEM_COMUM</t>
  </si>
  <si>
    <t>Domínio: Web
Ecossistema: Spring Boot
Linguagens: Java
Match (requisitos do projeto):
DOM: M (0/2)[] S (1/1)[web] C (0/1)[]
ECO: M (0/1)[] S (0/3)[] C (0/1)[]
LING: M (0/2)[] S (0/1)[] C (1/2)[java]
Colaboração (somente com membros desta equipe):
465-104: SEM_COMUM
465-152: SEM_COMUM
465-446: SEM_COMUM</t>
  </si>
  <si>
    <t>DOM M(0/2)[] S(1/1)[web] C(1/1)[desktop] | ECO M(0/1)[] S(1/3)[react] C(0/1)[] | LING M(0/2)[] S(1/1)[javascript] C(0/2)[]</t>
  </si>
  <si>
    <t>Domínio: Web
Ecossistema: React
Linguagens: JavaScript
Match (requisitos do projeto):
DOM: M (0/2)[] S (1/1)[web] C (0/1)[]
ECO: M (0/1)[] S (1/3)[react] C (0/1)[]
LING: M (0/2)[] S (1/1)[javascript] C (0/2)[]
Colaboração (somente com membros desta equipe):
362-161: SEM_COMUM
362-242: SEM_COMUM
362-450: SEM_COMUM</t>
  </si>
  <si>
    <t>Domínio: Web
Ecossistema: Node.js
Linguagens: JavaScript
Match (requisitos do projeto):
DOM: M (0/2)[] S (1/1)[web] C (0/1)[]
ECO: M (0/1)[] S (0/3)[] C (0/1)[]
LING: M (0/2)[] S (1/1)[javascript] C (0/2)[]
Colaboração (somente com membros desta equipe):
242-161: SEM_COMUM
242-362: SEM_COMUM
242-450: SEM_COMUM</t>
  </si>
  <si>
    <t>Domínio: Desktop
Ecossistema: .NET
Linguagens: C#
Match (requisitos do projeto):
DOM: M (0/2)[] S (0/1)[] C (1/1)[desktop]
ECO: M (0/1)[] S (0/3)[] C (0/1)[]
LING: M (0/2)[] S (0/1)[] C (0/2)[]
Colaboração (somente com membros desta equipe):
450-161: SEM_COMUM
450-242: SEM_COMUM
450-362: SEM_COMUM</t>
  </si>
  <si>
    <t>Domínio: nan
Ecossistema: nan
Linguagens: JavaScript
Match (requisitos do projeto):
DOM: M (0/2)[] S (0/1)[] C (0/1)[]
ECO: M (0/1)[] S (0/3)[] C (0/1)[]
LING: M (0/2)[] S (1/1)[javascript] C (0/2)[]
Colaboração (somente com membros desta equipe):
161-242: SEM_COMUM
161-362: SEM_COMUM
161-450: SEM_COMUM</t>
  </si>
  <si>
    <t>DOM M(0/2)[] S(1/1)[web] C(0/1)[] | ECO M(0/1)[] S(1/3)[react] C(0/1)[] | LING M(0/2)[] S(1/1)[javascript] C(1/2)[java]</t>
  </si>
  <si>
    <t>Domínio: Web
Ecossistema: React
Linguagens: JavaScript
Match (requisitos do projeto):
DOM: M (0/2)[] S (1/1)[web] C (0/1)[]
ECO: M (0/1)[] S (1/3)[react] C (0/1)[]
LING: M (0/2)[] S (1/1)[javascript] C (0/2)[]
Colaboração (somente com membros desta equipe):
362-354: SEM_COMUM
362-458: SEM_COMUM
362-495: SEM_COMUM</t>
  </si>
  <si>
    <t>Domínio: Web
Ecossistema: Node.js
Linguagens: JavaScript
Match (requisitos do projeto):
DOM: M (0/2)[] S (1/1)[web] C (0/1)[]
ECO: M (0/1)[] S (0/3)[] C (0/1)[]
LING: M (0/2)[] S (1/1)[javascript] C (0/2)[]
Colaboração (somente com membros desta equipe):
354-362: SEM_COMUM
354-458: SEM_COMUM
354-495: SEM_COMUM</t>
  </si>
  <si>
    <t>Domínio: Web
Ecossistema: Spring Boot
Linguagens: Java
Match (requisitos do projeto):
DOM: M (0/2)[] S (1/1)[web] C (0/1)[]
ECO: M (0/1)[] S (0/3)[] C (0/1)[]
LING: M (0/2)[] S (0/1)[] C (1/2)[java]
Colaboração (somente com membros desta equipe):
495-354: SEM_COMUM
495-362: SEM_COMUM
495-458: SEM_COMUM</t>
  </si>
  <si>
    <t>Domínio: Mobile
Ecossistema: iOS/iPadOS
Linguagens: Swift
Match (requisitos do projeto):
DOM: M (0/2)[] S (0/1)[] C (0/1)[]
ECO: M (0/1)[] S (0/3)[] C (0/1)[]
LING: M (0/2)[] S (0/1)[] C (0/2)[]
Colaboração (somente com membros desta equipe):
458-354: SEM_COMUM
458-362: SEM_COMUM
458-495: SEM_COMUM</t>
  </si>
  <si>
    <t>DOM M(0/2)[] S(1/1)[web] C(0/1)[] | ECO M(0/1)[] S(1/3)[react] C(0/1)[] | LING M(0/2)[] S(1/1)[javascript] C(0/2)[]</t>
  </si>
  <si>
    <t>Domínio: Web
Ecossistema: React
Linguagens: JavaScript
Match (requisitos do projeto):
DOM: M (0/2)[] S (1/1)[web] C (0/1)[]
ECO: M (0/1)[] S (1/3)[react] C (0/1)[]
LING: M (0/2)[] S (1/1)[javascript] C (0/2)[]
Colaboração (somente com membros desta equipe):
439-16: SEM_COMUM
439-209: SEM_COMUM
439-463: SEM_COMUM</t>
  </si>
  <si>
    <t>Domínio: nan
Ecossistema: iOS/iPadOS
Linguagens: nan
Match (requisitos do projeto):
DOM: M (0/2)[] S (0/1)[] C (0/1)[]
ECO: M (0/1)[] S (0/3)[] C (0/1)[]
LING: M (0/2)[] S (0/1)[] C (0/2)[]
Colaboração (somente com membros desta equipe):
16-209: SEM_COMUM
16-439: SEM_COMUM
16-463: SEM_COMUM</t>
  </si>
  <si>
    <t>Domínio: Web
Ecossistema: Node.js
Linguagens: JavaScript
Match (requisitos do projeto):
DOM: M (0/2)[] S (1/1)[web] C (0/1)[]
ECO: M (0/1)[] S (0/3)[] C (0/1)[]
LING: M (0/2)[] S (1/1)[javascript] C (0/2)[]
Colaboração (somente com membros desta equipe):
209-16: SEM_COMUM
209-439: SEM_COMUM
209-463: SEM_COMUM</t>
  </si>
  <si>
    <t>Domínio: Web
Ecossistema: Vue
Linguagens: JavaScript
Match (requisitos do projeto):
DOM: M (0/2)[] S (1/1)[web] C (0/1)[]
ECO: M (0/1)[] S (0/3)[] C (0/1)[]
LING: M (0/2)[] S (1/1)[javascript] C (0/2)[]
Colaboração (somente com membros desta equipe):
463-16: SEM_COMUM
463-209: SEM_COMUM
463-439: SEM_COMUM</t>
  </si>
  <si>
    <t>DOM M(1/1)[web] S(0/1)[] C(1/1)[desktop] | ECO M(0/1)[] S(0/2)[] C(0/1)[] | LING M(1/1)[javascript] S(0/2)[] C(1/2)[c#]</t>
  </si>
  <si>
    <t>Domínio: Web
Ecossistema: Vue
Linguagens: JavaScript
Match (requisitos do projeto):
DOM: M (1/1)[web] S (0/1)[] C (0/1)[]
ECO: M (0/1)[] S (0/2)[] C (0/1)[]
LING: M (1/1)[javascript] S (0/2)[] C (0/2)[]
Colaboração (somente com membros desta equipe):
263-241: SEM_COMUM
263-303: SEM_COMUM
263-548: SEM_COMUM</t>
  </si>
  <si>
    <t>Domínio: Web
Ecossistema: Node.js
Linguagens: JavaScript
Match (requisitos do projeto):
DOM: M (1/1)[web] S (0/1)[] C (0/1)[]
ECO: M (0/1)[] S (0/2)[] C (0/1)[]
LING: M (1/1)[javascript] S (0/2)[] C (0/2)[]
Colaboração (somente com membros desta equipe):
241-263: SEM_COMUM
241-303: SEM_COMUM
241-548: SEM_COMUM</t>
  </si>
  <si>
    <t>Domínio: Desktop
Ecossistema: .NET
Linguagens: C#
Match (requisitos do projeto):
DOM: M (0/1)[] S (0/1)[] C (1/1)[desktop]
ECO: M (0/1)[] S (0/2)[] C (0/1)[]
LING: M (0/1)[] S (0/2)[] C (1/2)[c#]
Colaboração (somente com membros desta equipe):
303-241: SEM_COMUM
303-263: SEM_COMUM
303-548: SEM_COMUM</t>
  </si>
  <si>
    <t>Domínio: Mobile
Ecossistema: iOS/iPadOS
Linguagens: Swift
Match (requisitos do projeto):
DOM: M (0/1)[] S (0/1)[] C (0/1)[]
ECO: M (0/1)[] S (0/2)[] C (0/1)[]
LING: M (0/1)[] S (0/2)[] C (0/2)[]
Colaboração (somente com membros desta equipe):
548-241: SEM_COMUM
548-263: SEM_COMUM
548-303: SEM_COMUM</t>
  </si>
  <si>
    <t>DOM M(1/1)[web] S(0/1)[] C(0/1)[] | ECO M(0/1)[] S(1/2)[react] C(0/1)[] | LING M(1/1)[javascript] S(0/2)[] C(0/2)[]</t>
  </si>
  <si>
    <t>Projeto</t>
  </si>
  <si>
    <t>Equipes</t>
  </si>
  <si>
    <t>Acordos</t>
  </si>
  <si>
    <t>Desacordos</t>
  </si>
  <si>
    <t>% Acordo</t>
  </si>
  <si>
    <t>Δ médio |abs|</t>
  </si>
  <si>
    <t>Maior Δ</t>
  </si>
  <si>
    <t>40%</t>
  </si>
  <si>
    <t>0.6</t>
  </si>
  <si>
    <t>0%</t>
  </si>
  <si>
    <t>2.0</t>
  </si>
  <si>
    <t>20%</t>
  </si>
  <si>
    <t>1.2</t>
  </si>
  <si>
    <t>60%</t>
  </si>
  <si>
    <t>0.8</t>
  </si>
  <si>
    <t>1.0</t>
  </si>
  <si>
    <t>Domínio: IoT, Web
Ecossistema: iOS/iPadOS
Linguagens: JSON, JavaScript
Match (requisitos do projeto):
DOM: M (1/1)[web] S (0/1)[] C (0/1)[]
ECO: M (0/1)[] S (0/2)[] C (0/1)[]
LING: M (1/1)[javascript] S (0/2)[] C (0/2)[]
Colaboração (somente com membros desta equipe):
145-38: SEM_COMUM
145-225: SEM_COMUM
145-263: P179(,osf=0.489,slf=0.711); P201(,osf=0.535,slf=0.596)</t>
  </si>
  <si>
    <t>Domínio: Web
Ecossistema: iOS/iPadOS
Linguagens: nan
Match (requisitos do projeto):
DOM: M (1/1)[web] S (0/1)[] C (0/1)[]
ECO: M (0/1)[] S (0/2)[] C (0/1)[]
LING: M (0/1)[] S (0/2)[] C (0/2)[]
Colaboração (somente com membros desta equipe):
38-145: SEM_COMUM
38-225: P82(,osf=0.567,slf=0.737)
38-263: SEM_COMUM</t>
  </si>
  <si>
    <t>80%</t>
  </si>
  <si>
    <t>0.2</t>
  </si>
  <si>
    <t>Domínio: Web
Ecossistema: React
Linguagens: JavaScript
Match (requisitos do projeto):
DOM: M (1/1)[web] S (0/1)[] C (0/1)[]
ECO: M (0/1)[] S (1/2)[react] C (0/1)[]
LING: M (1/1)[javascript] S (0/2)[] C (0/2)[]
Colaboração (somente com membros desta equipe):
225-38: P82(,osf=0.567,slf=0.737)
225-145: SEM_COMUM
225-263: SEM_COMUM</t>
  </si>
  <si>
    <t>Domínio: Web
Ecossistema: Vue
Linguagens: JavaScript
Match (requisitos do projeto):
DOM: M (1/1)[web] S (0/1)[] C (0/1)[]
ECO: M (0/1)[] S (0/2)[] C (0/1)[]
LING: M (1/1)[javascript] S (0/2)[] C (0/2)[]
Colaboração (somente com membros desta equipe):
263-38: SEM_COMUM
263-145: SEM_COMUM
263-225: SEM_COMUM</t>
  </si>
  <si>
    <t>TOTAL</t>
  </si>
  <si>
    <t>DOM M(1/1)[web] S(1/1)[cloud] C(0/1)[] | ECO M(0/1)[] S(1/2)[react] C(1/1)[aws lambda] | LING M(1/1)[javascript] S(1/2)[python] C(1/2)[java]</t>
  </si>
  <si>
    <t>Domínio: Web
Ecossistema: Spring Boot
Linguagens: Java
Match (requisitos do projeto):
DOM: M (1/1)[web] S (0/1)[] C (0/1)[]
ECO: M (0/1)[] S (0/2)[] C (0/1)[]
LING: M (0/1)[] S (0/2)[] C (1/2)[java]
Colaboração (somente com membros desta equipe):
193-7: P82(,osf=0.567,slf=0.737); P85(,osf=0.784,slf=0.538) | 193-119: P82(,osf=0.567,slf=0.737) | 193-194: P82(,osf=0.567,slf=0.737); P85(,osf=0.784,slf=0.538) | 193-399: P82(,osf=0.567,slf=0.737); P85(,osf=0.784,slf=0.538)
193-154: SEM_COMUM
193-194: SEM_COMUM</t>
  </si>
  <si>
    <t>Domínio: Mobile
Ecossistema: Android
Linguagens: Kotlin
Match (requisitos do projeto):
DOM: M (0/1)[] S (0/1)[] C (0/1)[]
ECO: M (0/1)[] S (0/2)[] C (0/1)[]
LING: M (0/1)[] S (0/2)[] C (0/2)[]
Colaboração (somente com membros desta equipe):
194-7: P40(,osf=0.733,slf=0.373); P82(,osf=0.567,slf=0.737); P85(,osf=0.784,slf=0.538) | 194-193: P82(,osf=0.567,slf=0.737); P85(,osf=0.784,slf=0.538)
194-154: SEM_COMUM
194-193: SEM_COMUM</t>
  </si>
  <si>
    <t>Domínio: Web
Ecossistema: React
Linguagens: JavaScript
Match (requisitos do projeto):
DOM: M (1/1)[web] S (0/1)[] C (0/1)[]
ECO: M (0/1)[] S (1/2)[react] C (0/1)[]
LING: M (1/1)[javascript] S (0/2)[] C (0/2)[]
Colaboração (somente com membros desta equipe):
7-154: SEM_COMUM
7-193: P82(,osf=0.567,slf=0.737); P85(,osf=0.784,slf=0.538) | 7-194: P40(,osf=0.733,slf=0.373); P82(,osf=0.567,slf=0.737); P85(,osf=0.784,slf=0.538)
7-194: SEM_COMUM</t>
  </si>
  <si>
    <t>Domínio: Cloud
Ecossistema: AWS Lambda
Linguagens: Python
Match (requisitos do projeto):
DOM: M (0/1)[] S (1/1)[cloud] C (0/1)[]
ECO: M (0/1)[] S (0/2)[] C (1/1)[aws lambda]
LING: M (0/1)[] S (1/2)[python] C (0/2)[]
Colaboração (somente com membros desta equipe):
154-7: SEM_COMUM
154-193: SEM_COMUM
154-194: SEM_COMUM</t>
  </si>
  <si>
    <t>DOM M(1/1)[web] S(1/1)[cloud] C(0/1)[] | ECO M(0/1)[] S(1/2)[angular] C(1/1)[aws lambda] | LING M(0/1)[] S(2/2)[typescript, python] C(0/2)[]</t>
  </si>
  <si>
    <t>team_id</t>
  </si>
  <si>
    <t>team_str</t>
  </si>
  <si>
    <t>AT_cont</t>
  </si>
  <si>
    <t>AC_cont</t>
  </si>
  <si>
    <t>dist_AE</t>
  </si>
  <si>
    <t>dist_AT</t>
  </si>
  <si>
    <t>dist_AC</t>
  </si>
  <si>
    <t>pc_score</t>
  </si>
  <si>
    <t>pc_label</t>
  </si>
  <si>
    <t>dominio_tier</t>
  </si>
  <si>
    <t>ecossistema_tier</t>
  </si>
  <si>
    <t>linguagens_tier</t>
  </si>
  <si>
    <t>Domínio: Cloud
Ecossistema: AWS Lambda
Linguagens: Python
Match (requisitos do projeto):
DOM: M (0/1)[] S (1/1)[cloud] C (0/1)[]
ECO: M (0/1)[] S (0/2)[] C (1/1)[aws lambda]
LING: M (0/1)[] S (1/2)[python] C (0/2)[]
Colaboração (somente com membros desta equipe):
438-104: SEM_COMUM
438-270: P82(,osf=0.567,slf=0.737) | 438-293: P124(,osf=0.678,slf=0.507); P152(,osf=0.337,slf=0.880) | 438-558: P85(,osf=0.784,slf=0.538)
438-293: SEM_COMUM</t>
  </si>
  <si>
    <t>dominio_score</t>
  </si>
  <si>
    <t>Domínio: Web
Ecossistema: Angular
Linguagens: TypeScript
Match (requisitos do projeto):
DOM: M (1/1)[web] S (0/1)[] C (0/1)[]
ECO: M (0/1)[] S (1/2)[angular] C (0/1)[]
LING: M (0/1)[] S (1/2)[typescript] C (0/2)[]
Colaboração (somente com membros desta equipe):
270-104: SEM_COMUM
270-293: SEM_COMUM
270-438: SEM_COMUM</t>
  </si>
  <si>
    <t>ecossistema_score</t>
  </si>
  <si>
    <t>linguagens_score</t>
  </si>
  <si>
    <t>t_cpt_build_s</t>
  </si>
  <si>
    <t>Domínio: Mobile
Ecossistema: Android
Linguagens: Kotlin
Match (requisitos do projeto):
DOM: M (0/1)[] S (0/1)[] C (0/1)[]
ECO: M (0/1)[] S (0/2)[] C (0/1)[]
LING: M (0/1)[] S (0/2)[] C (0/2)[]
Colaboração (somente com membros desta equipe):
104-270: SEM_COMUM
104-293: SEM_COMUM
104-438: SEM_COMUM</t>
  </si>
  <si>
    <t>t_dim_s</t>
  </si>
  <si>
    <t>t_pc_graph_s</t>
  </si>
  <si>
    <t>t_pc_transform_s</t>
  </si>
  <si>
    <t>Domínio: Web
Ecossistema: Angular
Linguagens: TypeScript
Match (requisitos do projeto):
DOM: M (1/1)[web] S (0/1)[] C (0/1)[]
ECO: M (0/1)[] S (1/2)[angular] C (0/1)[]
LING: M (0/1)[] S (1/2)[typescript] C (0/2)[]
Colaboração (somente com membros desta equipe):
293-104: SEM_COMUM
293-270: SEM_COMUM
293-438: P124(,osf=0.678,slf=0.507); P152(,osf=0.337,slf=0.880)</t>
  </si>
  <si>
    <t>t_infer_at_s</t>
  </si>
  <si>
    <t>t_infer_ae_s</t>
  </si>
  <si>
    <t>t_infer_total_s</t>
  </si>
  <si>
    <t>t_team_total_s</t>
  </si>
  <si>
    <t>t_project_total_s</t>
  </si>
  <si>
    <t>t_project_total_plus_cpt_s</t>
  </si>
  <si>
    <t>dominio_m_total</t>
  </si>
  <si>
    <t>dominio_m_covered</t>
  </si>
  <si>
    <t>dominio_m_covered_list</t>
  </si>
  <si>
    <t>dominio_s_total</t>
  </si>
  <si>
    <t>dominio_s_covered</t>
  </si>
  <si>
    <t>dominio_s_covered_list</t>
  </si>
  <si>
    <t>dominio_c_total</t>
  </si>
  <si>
    <t>dominio_c_covered</t>
  </si>
  <si>
    <t>dominio_c_covered_list</t>
  </si>
  <si>
    <t>ecossistema_m_total</t>
  </si>
  <si>
    <t>ecossistema_m_covered</t>
  </si>
  <si>
    <t>ecossistema_m_covered_list</t>
  </si>
  <si>
    <t>ecossistema_s_total</t>
  </si>
  <si>
    <t>ecossistema_s_covered</t>
  </si>
  <si>
    <t>ecossistema_s_covered_list</t>
  </si>
  <si>
    <t>ecossistema_c_total</t>
  </si>
  <si>
    <t>ecossistema_c_covered</t>
  </si>
  <si>
    <t>ecossistema_c_covered_list</t>
  </si>
  <si>
    <t>linguagens_m_total</t>
  </si>
  <si>
    <t>linguagens_m_covered</t>
  </si>
  <si>
    <t>linguagens_m_covered_list</t>
  </si>
  <si>
    <t>linguagens_s_total</t>
  </si>
  <si>
    <t>linguagens_s_covered</t>
  </si>
  <si>
    <t>linguagens_s_covered_list</t>
  </si>
  <si>
    <t>linguagens_c_total</t>
  </si>
  <si>
    <t>linguagens_c_covered</t>
  </si>
  <si>
    <t>linguagens_c_covered_list</t>
  </si>
  <si>
    <t>DOM M(1/1)[web] S(0/1)[] C(0/1)[] | ECO M(1/1)[mongodb] S(0/2)[] C(0/1)[] | LING M(1/1)[javascript] S(0/2)[] C(0/2)[]</t>
  </si>
  <si>
    <t>dataset</t>
  </si>
  <si>
    <t>Método</t>
  </si>
  <si>
    <t xml:space="preserve">Resultados </t>
  </si>
  <si>
    <t>[Dev169;Dev27;Dev81;Dev363]</t>
  </si>
  <si>
    <t>project_id</t>
  </si>
  <si>
    <t>0.683021,0.311090,0.005889,0.000000,0.000000</t>
  </si>
  <si>
    <t>n_items</t>
  </si>
  <si>
    <t>1/2</t>
  </si>
  <si>
    <t>kendall_tau_b</t>
  </si>
  <si>
    <t>0/1</t>
  </si>
  <si>
    <t>1/1</t>
  </si>
  <si>
    <t>spearman_rho</t>
  </si>
  <si>
    <t>ndcg_at_k</t>
  </si>
  <si>
    <t>top1_match</t>
  </si>
  <si>
    <t>mrr</t>
  </si>
  <si>
    <t>DOM faltam 1 | ECO faltam 1 | LING faltam 1</t>
  </si>
  <si>
    <t>mad_rank</t>
  </si>
  <si>
    <t>match_exato_count</t>
  </si>
  <si>
    <t>match_exato_rate</t>
  </si>
  <si>
    <t>within_1_count</t>
  </si>
  <si>
    <t>within_1_rate</t>
  </si>
  <si>
    <t>top1_within_1</t>
  </si>
  <si>
    <t>top1_miss_by_1</t>
  </si>
  <si>
    <t>Domínio: Web
Ecossistema: Vue
Linguagens: JavaScript
Match (requisitos do projeto):
DOM: M (1/1)[web] S (0/1)[] C (0/1)[]
ECO: M (0/1)[] S (0/2)[] C (0/1)[]
LING: M (1/1)[javascript] S (0/2)[] C (0/2)[]
Colaboração (somente com membros desta equipe):
198-62: SEM_COMUM
198-415: P82(,osf=0.567,slf=0.737)
198-559: SEM_COMUM</t>
  </si>
  <si>
    <t>0.746058,0.253940,0.000002,0.000000,0.000000</t>
  </si>
  <si>
    <t>note</t>
  </si>
  <si>
    <t>top1_match_count</t>
  </si>
  <si>
    <t>Domínio: Web
Ecossistema: Vue
Linguagens: JavaScript
Match (requisitos do projeto):
DOM: M (1/1)[web] S (0/1)[] C (0/1)[]
ECO: M (0/1)[] S (0/2)[] C (0/1)[]
LING: M (1/1)[javascript] S (0/2)[] C (0/2)[]
Colaboração (somente com membros desta equipe):
415-62: P85(,osf=0.784,slf=0.538) | 415-198: P82(,osf=0.567,slf=0.737)
415-198: SEM_COMUM
415-559: SEM_COMUM</t>
  </si>
  <si>
    <t>0.000000,1.000000,0.000000,0.000000,0.000000</t>
  </si>
  <si>
    <t>top1_within_1_count</t>
  </si>
  <si>
    <t>top1_miss_by_1_count</t>
  </si>
  <si>
    <t>L</t>
  </si>
  <si>
    <t>n_projects</t>
  </si>
  <si>
    <t>Domínio: nan
Ecossistema: MongoDB, iOS/iPadOS
Linguagens: nan
Match (requisitos do projeto):
DOM: M (0/1)[] S (0/1)[] C (0/1)[]
ECO: M (1/1)[mongodb] S (0/2)[] C (0/1)[]
LING: M (0/1)[] S (0/2)[] C (0/2)[]
Colaboração (somente com membros desta equipe):
62-198: SEM_COMUM
62-415: P85(,osf=0.784,slf=0.538)
62-559: SEM_COMUM</t>
  </si>
  <si>
    <t>VL</t>
  </si>
  <si>
    <t>Domínio: Mobile
Ecossistema: Android
Linguagens: Kotlin
Match (requisitos do projeto):
DOM: M (0/1)[] S (0/1)[] C (0/1)[]
ECO: M (0/1)[] S (0/2)[] C (0/1)[]
LING: M (0/1)[] S (0/2)[] C (0/2)[]
Colaboração (somente com membros desta equipe):
559-62: SEM_COMUM
559-198: SEM_COMUM
559-415: SEM_COMUM</t>
  </si>
  <si>
    <t>O experimento comparou, para cada projeto-alvo, o ranking produzido pelo modelo (BN) com o ranking atribuído pelo especialista usando um único CSV com 6 projetos e 5 equipes por projeto (30 equipes no total), contendo project_id, o identificador da equipe e as posições de ranking do especialista e do modelo; para cada projeto, as equipes foram avaliadas exclusivamente pelas posições rank_expert e rank_bn, e foram calculadas métricas de concordância global e de qualidade do topo do ranking, reportando os resultados por projeto e também uma linha agregada por média macro entre projetos: concordância ordinal com suporte a empates (Kendall tau-b; kendall_tau_b), correlação por postos (Spearman rho; spearman_rho), qualidade do ranking com ênfase no topo via ganho descontado normalizado em k (nDCG@k; ndcg_at_k), acerto do Top-1 considerando empates (Top-1 Match; top1_match), posição do Top-1 do especialista recuperada no ranking do modelo (Mean Reciprocal Rank; mrr), erro médio absoluto em posições entre os dois rankings (Mean Absolute Difference; mad_rank), número e taxa de coincidências exatas de posição entre modelo e especialista (Exact Match Count/Rate; match_exato_count, match_exato_rate), número e taxa de equipes cujo erro de posição foi no máximo 1 (Within-1 Count/Rate; within_1_count, within_1_rate), verificação se o Top-1 do modelo aparece até uma posição abaixo do Top-1 do especialista (Top-1 Within-1; top1_within_1) e contagem de casos em que não houve acerto do Top-1, mas o Top-1 do modelo ficou até 1 posição do Top-1 do especialista (Top-1 Miss-by-1; top1_miss_by_1); além disso, no agregado global foram incluídas as contagens totais de acertos de Top-1 e Top-1 Within-1 ( top1_match_count, top1_within_1_count), a contagem total de miss-by-1 no topo (top1_miss_by_1_count) e o número de projetos avaliados (n_projects).</t>
  </si>
  <si>
    <t>web</t>
  </si>
  <si>
    <t>mobile</t>
  </si>
  <si>
    <t>react</t>
  </si>
  <si>
    <t>javascript</t>
  </si>
  <si>
    <t>[Dev71;Dev518;Dev509;Dev439]</t>
  </si>
  <si>
    <t>[Dev205;Dev526;Dev363;Dev447]</t>
  </si>
  <si>
    <t>[Dev33;Dev303;Dev270;Dev93]</t>
  </si>
  <si>
    <t>[Dev316;Dev389;Dev526;Dev308]</t>
  </si>
  <si>
    <t>[Dev466;Dev93;Dev437;Dev292]</t>
  </si>
  <si>
    <t>[Dev270;Dev411;Dev479;Dev503]</t>
  </si>
  <si>
    <t>OVERALL_MEAN</t>
  </si>
  <si>
    <t>macro-mean across projects + counts</t>
  </si>
  <si>
    <t>[Dev115;Dev119;Dev399;Dev193]</t>
  </si>
  <si>
    <t>[Dev468;Dev263;Dev503;Dev5]</t>
  </si>
  <si>
    <t>Resumo:</t>
  </si>
  <si>
    <t>DOM M(1/2)[web] S(0/1)[] C(1/1)[desktop] | ECO M(1/3)[react] S(1/1)[.net] C(0/1)[] | LING M(1/3)[javascript] S(2/2)[c#, java] C(0/2)[]</t>
  </si>
  <si>
    <t>[Dev104;Dev363;Dev544;Dev81]</t>
  </si>
  <si>
    <t>Top-1 match: 5 de 6 projetos (83.33%)
Top-1 within 1 position: 5 de 6 projetos (83.33%)
Exatos (mesma posição): 13 de 30 equipes (43.33%)
Dentro de 1 posição: 24 de 30 equipes (80%)
Médias macro: Kendall tau-b 0.5377, Spearman 0.6120, nDCG@5 0.9585, MRR 0.9167, MAD 0.8333</t>
  </si>
  <si>
    <t>[Dev423;Dev558;Dev494;Dev391]</t>
  </si>
  <si>
    <t>0.974991,0.025009,0.000000,0.000000,0.000000</t>
  </si>
  <si>
    <t>[Dev104;Dev446;Dev152;Dev465]</t>
  </si>
  <si>
    <t>2/2</t>
  </si>
  <si>
    <t>Interpretação:</t>
  </si>
  <si>
    <t>[Dev362;Dev242;Dev450;Dev161]</t>
  </si>
  <si>
    <t>Os resultados indicam forte alinhamento do modelo com o especialista no topo do ranking: em 5 de 6 projetos (83,33%) o modelo acertou exatamente a melhor equipe (Top-1 match) e, nesses mesmos 5 de 6, a melhor escolha do modelo ficou no máximo 1 posição distante do Top-1 do especialista (Top-1 within 1), mostrando boa utilidade prática para recomendação. No detalhamento das posições, o modelo acertou exatamente 43,33% das colocações (13/30), mas quando aceitamos pequena variação, ele fica dentro de 1 posição em 80% dos casos (24/30), o que é compatível com diferenças finas de ordenação entre avaliadores. As métricas globais reforçam isso: nDCG@5 = 0,9585 e MRR = 0,9167 confirmam que o modelo prioriza muito bem as melhores equipes, enquanto Kendall tau-b = 0,5377 e Spearman = 0,6120 mostram concordância moderada-boa na ordenação completa; por fim, MAD = 0,8333 indica que o erro médio é menor que 1 posição por equipe.</t>
  </si>
  <si>
    <t>0.976598,0.023402,0.000000,0.000000,0.000000</t>
  </si>
  <si>
    <t>1.000000,0.000000,0.000000,0.000000,0.000000</t>
  </si>
  <si>
    <t>[Dev362;Dev354;Dev495;Dev458]</t>
  </si>
  <si>
    <t>[Dev439;Dev16;Dev209;Dev463]</t>
  </si>
  <si>
    <t>[Dev263;Dev241;Dev303;Dev548]</t>
  </si>
  <si>
    <t>[Dev145;Dev38;Dev225;Dev263]</t>
  </si>
  <si>
    <t>[Dev193;Dev194;Dev7;Dev154]</t>
  </si>
  <si>
    <t>[Dev438;Dev270;Dev104;Dev293]</t>
  </si>
  <si>
    <t>javascript,typescript</t>
  </si>
  <si>
    <t>[Dev198;Dev415;Dev62;Dev559]</t>
  </si>
  <si>
    <t>[Dev174;Dev265;Dev524;Dev169]</t>
  </si>
  <si>
    <t>[Dev438;Dev558;Dev461;Dev297]</t>
  </si>
  <si>
    <t>python</t>
  </si>
  <si>
    <t>Script python :</t>
  </si>
  <si>
    <t>Dev71
Domínio: IoT, Web
Ecossistema: iOS/iPadOS
Linguagens: HTML, JavaScript, Python
Match (requisitos do projeto):
DOM : M (1/2)['web'] S (0/1)[] C (0/1)[]
ECO : M (0/1)[] S (0/1)[] C (0/1)[]
LING: M (0/1)[] S (1/2)['javascript'] C (1/1)['python']
Colaboração (somente com membros desta equipe):
Dev71-Dev518: SEM_COMUM
Dev71-Dev509: SEM_COMUM
Dev71-Dev439: SEM_COMUM</t>
  </si>
  <si>
    <t>Dev518
Domínio: Web
Ecossistema: Vue
Linguagens: JavaScript
Match (requisitos do projeto):
DOM : M (1/2)['web'] S (0/1)[] C (0/1)[]
ECO : M (0/1)[] S (0/1)[] C (0/1)[]
LING: M (0/1)[] S (1/2)['javascript'] C (0/1)[]
Colaboração (somente com membros desta equipe):
Dev518-Dev71: SEM_COMUM
Dev518-Dev509: SEM_COMUM
Dev518-Dev439: SEM_COMUM</t>
  </si>
  <si>
    <t>Dev509
Domínio: Web
Ecossistema: Angular
Linguagens: TypeScript
Match (requisitos do projeto):
DOM : M (1/2)['web'] S (0/1)[] C (0/1)[]
ECO : M (0/1)[] S (0/1)[] C (0/1)[]
LING: M (0/1)[] S (1/2)['typescript'] C (0/1)[]
Colaboração (somente com membros desta equipe):
Dev509-Dev71: SEM_COMUM
Dev509-Dev518: SEM_COMUM
Dev509-Dev439: SEM_COMUM</t>
  </si>
  <si>
    <t>[Dev324;Dev439;Dev370;Dev250]</t>
  </si>
  <si>
    <t>Dev439
Domínio: Web
Ecossistema: React
Linguagens: JavaScript
Match (requisitos do projeto):
DOM : M (1/2)['web'] S (0/1)[] C (0/1)[]
ECO : M (0/1)[] S (1/1)['react'] C (0/1)[]
LING: M (0/1)[] S (1/2)['javascript'] C (0/1)[]
Colaboração (somente com membros desta equipe):
Dev439-Dev71: SEM_COMUM
Dev439-Dev518: SEM_COMUM
Dev439-Dev509: SEM_COMUM</t>
  </si>
  <si>
    <t>0.887185,0.112272,0.000543,0.000000,0.000000</t>
  </si>
  <si>
    <t>Domínio: Web
Ecossistema: Vue
Linguagens: JavaScript
Match (requisitos do projeto):
DOM: M (1/2)[web] S (0/1)[] C (0/1)[]
ECO: M (0/3)[] S (0/1)[] C (0/1)[]
LING: M (1/3)[javascript] S (0/2)[] C (0/2)[]
Colaboração (somente com membros desta equipe):
174-169: SEM_COMUM
174-265: SEM_COMUM
174-524: SEM_COMUM</t>
  </si>
  <si>
    <t xml:space="preserve">#compute_rank_metrics.py
import argparse
import math
import pandas as pd
from collections import Counter
import csv
# ----------------------------
# IO helpers
# ----------------------------
def sniff_sep(path: str) -&gt; str:
    with open(path, "r", encoding="utf-8", errors="ignore") as f:
        header = f.readline()
    return ";" if header.count(";") &gt; header.count(",") else ","
def read_csv_auto(path: str) -&gt; pd.DataFrame:
    sep = sniff_sep(path)
    return pd.read_csv(path, sep=sep, engine="python", quoting=csv.QUOTE_MINIMAL)
def normalize_project_col(df: pd.DataFrame) -&gt; pd.DataFrame:
    if "project_id" not in df.columns and "projeto_id" in df.columns:
        df = df.rename(columns={"projeto_id": "project_id"})
    return df
def normalize_team_col(df: pd.DataFrame) -&gt; pd.DataFrame:
    # mantido por compatibilidade (mesmo não usando team_id)
    if "team_id" not in df.columns and "equipe_id" in df.columns:
        df = df.rename(columns={"equipe_id": "team_id"})
    return df
def ensure_team_str(df: pd.DataFrame) -&gt; pd.DataFrame:
    """
    Garante team_str no formato:
      [Dev169;Dev27;Dev81;Dev363]
    Se já existir, não mexe.
    Se não existir, tenta construir via dev1..dev4.
    """
    if "team_str" in df.columns:
        return df
    dev_cols = ["dev1", "dev2", "dev3", "dev4"]
    if all(c in df.columns for c in dev_cols):
        def build_row(r):
            if any(pd.isna(r[c]) for c in dev_cols):
                return None
            return f"[{r['dev1']};{r['dev2']};{r['dev3']};{r['dev4']}]"
        df["team_str"] = df.apply(build_row, axis=1)
    return df
# ----------------------------
# Metrics (mantidas do original)
# ----------------------------
def reciprocal_rank(g: pd.DataFrame, key_col: str, pred_col: str, exp_col: str) -&gt; float:
    """
    RR por projeto:
    - pega o(s) Top-1 do expert (suporta empates),
    - encontra a melhor posição desses itens no ranking do modelo,
    - retorna 1/posição.
    """
    exp_min = g[exp_col].min()
    best_expert_teams = set(g.loc[g[exp_col] == exp_min, key_col])
    if not best_expert_teams:
        return 0.0
    g_sorted = g.sort_values([pred_col, key_col], ascending=[True, True])
    best_pos = None
    for i, (_, row) in enumerate(g_sorted.iterrows(), 1):
        if row[key_col] in best_expert_teams:
            best_pos = i
            break
    return 1.0 / best_pos if best_pos is not None else 0.0
def kendall_tau_b(x, y) -&gt; float:
    """
    Kendall tau-b (suporta empates). O(n^2) suficiente para n=5.
    """
    n = len(x)
    if n &lt; 2:
        return float("nan")
    n0 = n * (n - 1) / 2
    cx = Counter(x)
    cy = Counter(y)
    n1 = sum(v * (v - 1) / 2 for v in cx.values())  # ties em x
    n2 = sum(v * (v - 1) / 2 for v in cy.values())  # ties em y
    C = D = 0
    for i in range(n):
        for j in range(i + 1, n):
            if x[i] == x[j] or y[i] == y[j]:
                continue
            s = (x[i] - x[j]) * (y[i] - y[j])
            if s &gt; 0:
                C += 1
            elif s &lt; 0:
                D += 1
    denom = math.sqrt((n0 - n1) * (n0 - n2))
    return float("nan") if denom == 0 else (C - D) / denom
def spearman_rho(x_ranks, y_ranks) -&gt; float:
    import numpy as np
    x = np.array(x_ranks, dtype=float)
    y = np.array(y_ranks, dtype=float)
    if len(x) &lt; 2:
        return float("nan")
    if np.all(x == x[0]) or np.all(y == y[0]):
        return float("nan")
    return float(np.corrcoef(x, y)[0, 1])
def dcg_at_k(relevances, k: int) -&gt; float:
    k = min(k, len(relevances))
    dcg = 0.0
    for i in range(k):
        dcg += relevances[i] / math.log2(i + 2)
    return dcg
def ndcg_at_k(pred_order_ids, expert_rank_by_id, k: int = 5) -&gt; float:
    rel_pred = []
    for tid in pred_order_ids:
        r = expert_rank_by_id.get(tid, None)
        if r is None or r &lt;= 0:
            return float("nan")
        rel_pred.append(1.0 / float(r))
    dcg = dcg_at_k(rel_pred, k)
    rel_all = [1.0 / float(r) for r in expert_rank_by_id.values() if r is not None and r &gt; 0]
    rel_all.sort(reverse=True)
    idcg = dcg_at_k(rel_all, k)
    return float("nan") if idcg == 0 else dcg / idcg
def top1_match_with_ties(g: pd.DataFrame, key_col: str, pred_col: str, exp_col: str) -&gt; int:
    pred_best = set(g.loc[g[pred_col] == g[pred_col].min(), key_col].tolist())
    exp_best  = set(g.loc[g[exp_col]  == g[exp_col].min(),  key_col].tolist())
    return 1 if len(pred_best &amp; exp_best) &gt; 0 else 0
def mean_abs_rank_diff(pred_rank_by_id, expert_rank_by_id) -&gt; float:
    diffs = []
    for tid, pr in pred_rank_by_id.items():
        er = expert_rank_by_id.get(tid, None)
        if er is None or er &lt;= 0:
            return float("nan")
        diffs.append(abs(float(pr) - float(er)))
    return float("nan") if not diffs else sum(diffs) / len(diffs)
# ----------------------------
# top1, erro de ate 1 posição, match exatos
# ----------------------------
def exact_match_count(g: pd.DataFrame, pred_col: str, exp_col: str) -&gt; int:
    return int((g[pred_col] == g[exp_col]).sum())
def within_1_count(g: pd.DataFrame, pred_col: str, exp_col: str) -&gt; int:
    return int((g[pred_col] - g[exp_col]).abs().le(1).sum())
def top1_within_1(g: pd.DataFrame, key_col: str, pred_col: str, exp_col: str) -&gt; int:
    """
    "errou até 1 posição" no Top-1:
    - pega o(s) Top-1 do modelo (suporta empates)
    - verifica se algum deles está no Top-(min_rank_expert + 1)
      (para rank começando em 1, equivale ao Top-2 do expert)
    """
    exp_min = float(g[exp_col].min())
    threshold = exp_min + 1.0
    pred_best_ids = set(g.loc[g[pred_col] == g[pred_col].min(), key_col].tolist())
    if not pred_best_ids:
        return 0
    # melhor rank_expert entre os Top-1 do modelo
    best_er = float(g.loc[g[key_col].isin(pred_best_ids), exp_col].min())
    return 1 if best_er &lt;= threshold else 0
def top1_miss_by_1(g: pd.DataFrame, key_col: str, pred_col: str, exp_col: str) -&gt; int:
    """
    1 se NÃO acertou Top-1, mas ficou a até 1 posição (Top-2 do expert).
    """
    m = top1_match_with_ties(g, key_col, pred_col, exp_col)
    w = top1_within_1(g, key_col, pred_col, exp_col)
    return 1 if (m == 0 and w == 1) else 0
# ----------------------------
# Main
# ----------------------------
def main():
    ap = argparse.ArgumentParser()
    ap.add_argument("--in", dest="inp", required=True, help="CSV único com project_id/projeto_id, team_str, rank_expert e rank_bn")
    ap.add_argument("--expert-col", default="rank_expert")
    ap.add_argument("--k", type=int, default=5)
    ap.add_argument("--out", default="metrics_rank.csv")
    args = ap.parse_args()
    df = read_csv_auto(args.inp)
    df = normalize_project_col(df)
    df = normalize_team_col(df)
    df = ensure_team_str(df)
    # completa project_id se vier agrupado com vazios
    if "project_id" in df.columns:
        df["project_id"] = df["project_id"].ffill()
    # remove linhas vazias
    if "team_str" in df.columns:
        df = df[df["team_str"].notna()].copy()
    # valida colunas mínimas
    need = ["project_id", "team_str", "rank_bn", args.expert_col]
    miss = [c for c in need if c not in df.columns]
    if miss:
        raise ValueError(f"Missing columns {miss}. Found: {list(df.columns)}")
    merged = df[["project_id", "team_str", "rank_bn", args.expert_col]].copy()
    merged["rank_bn"] = pd.to_numeric(merged["rank_bn"], errors="coerce")
    merged[args.expert_col] = pd.to_numeric(merged[args.expert_col], errors="coerce")
    rows = []
    projects = list(merged.groupby("project_id").groups.keys())
    for pid, g in merged.groupby("project_id"):
        g = g.dropna(subset=["rank_bn", args.expert_col]).copy()
        if len(g) &lt; 2:
            rows.append({
                "project_id": pid, "n_items": len(g),
                "kendall_tau_b": float("nan"), "spearman_rho": float("nan"),
                "ndcg_at_k": float("nan"), "top1_match": float("nan"),
                "mrr": float("nan"), "mad_rank": float("nan"),
                "match_exato_count": float("nan"), "within_1_count": float("nan"),
                "top1_within_1": float("nan"), "top1_miss_by_1": float("nan"),
                "note": "menos de 2 itens"
            })
            continue
        if (g[args.expert_col] &lt;= 0).any():
            rows.append({
                "project_id": pid, "n_items": len(g),
                "kendall_tau_b": float("nan"), "spearman_rho": float("nan"),
                "ndcg_at_k": float("nan"), "top1_match": float("nan"),
                "mrr": float("nan"), "mad_rank": float("nan"),
                "match_exato_count": float("nan"), "within_1_count": float("nan"),
                "top1_within_1": float("nan"), "top1_miss_by_1": float("nan"),
                "note": "rank expert &lt;=0 detectado"
            })
            continue
        # Ordem predita: rank_bn menor é melhor; desempate estável por team_str
        g_sorted_pred = g.sort_values(["rank_bn", "team_str"], ascending=True)
        pred_order = g_sorted_pred["team_str"].tolist()
        pred_rank_by_id = dict(zip(g["team_str"], g["rank_bn"]))
        expert_rank_by_id = dict(zip(g["team_str"], g[args.expert_col]))
        # listas alinhadas pela mesma ordem de keys (n=5, ok)
        keys = list(pred_rank_by_id.keys())
        x = [pred_rank_by_id[t] for t in keys]
        y = [expert_rank_by_id[t] for t in keys]
        mex = exact_match_count(g, "rank_bn", args.expert_col)
        w1c = within_1_count(g, "rank_bn", args.expert_col)
        rows.append({
            "project_id": pid,
            "n_items": len(g),
            "kendall_tau_b": kendall_tau_b(x, y),
            "spearman_rho": spearman_rho(x, y),
            "ndcg_at_k": ndcg_at_k(pred_order, expert_rank_by_id, k=args.k),
            "top1_match": top1_match_with_ties(g, "team_str", "rank_bn", args.expert_col),
            "mrr": reciprocal_rank(g, "team_str", "rank_bn", args.expert_col),
            "mad_rank": mean_abs_rank_diff(pred_rank_by_id, expert_rank_by_id),
            "match_exato_count": mex,
            "match_exato_rate": mex / float(len(g)) if len(g) else float("nan"),
            "within_1_count": w1c,
            "within_1_rate": w1c / float(len(g)) if len(g) else float("nan"),
            "top1_within_1": top1_within_1(g, "team_str", "rank_bn", args.expert_col),
            "top1_miss_by_1": top1_miss_by_1(g, "team_str", "rank_bn", args.expert_col),
            "note": ""
        })
    out = pd.DataFrame(rows)
    # Overall mean (macro-average) + contagens pedidas
    def nanmean(s): return float(pd.to_numeric(s, errors="coerce").mean(skipna=True))
    # contagens (não médias)
    top1_match_count = int(pd.to_numeric(out["top1_match"], errors="coerce").fillna(0).sum())
    top1_within_1_count = int(pd.to_numeric(out["top1_within_1"], errors="coerce").fillna(0).sum())
    top1_miss_by_1_count = int(pd.to_numeric(out["top1_miss_by_1"], errors="coerce").fillna(0).sum())
    match_exato_total = int(pd.to_numeric(out["match_exato_count"], errors="coerce").fillna(0).sum())
    within_1_total = int(pd.to_numeric(out["within_1_count"], errors="coerce").fillna(0).sum())
    n_projects = int(out["project_id"].nunique())
    summary = {
        "project_id": "OVERALL_MEAN",
        "n_items": int(out["n_items"].sum()),
        "kendall_tau_b": nanmean(out["kendall_tau_b"]),
        "spearman_rho": nanmean(out["spearman_rho"]),
        "ndcg_at_k": nanmean(out["ndcg_at_k"]),
        "top1_match": nanmean(out["top1_match"]),
        "mrr": nanmean(out["mrr"]),
        "mad_rank": nanmean(out["mad_rank"]),
        "match_exato_count": match_exato_total,
        "match_exato_rate": (match_exato_total / float(out["n_items"].sum())) if out["n_items"].sum() else float("nan"),
        "within_1_count": within_1_total,
        "within_1_rate": (within_1_total / float(out["n_items"].sum())) if out["n_items"].sum() else float("nan"),
        "top1_within_1": nanmean(out["top1_within_1"]),
        "top1_miss_by_1": nanmean(out["top1_miss_by_1"]),
        "top1_match_count": top1_match_count,
        "top1_within_1_count": top1_within_1_count,
        "top1_miss_by_1_count": top1_miss_by_1_count,
        "n_projects": n_projects,
        "note": "macro-mean across projects + counts"
    }
    out = pd.concat([out, pd.DataFrame([summary])], ignore_index=True)
    out.to_csv(args.out, index=False, encoding="utf-8")
    print(f"[OK] Wrote: {args.out}")
    print(out.to_string(index=False))
if __name__ == "__main__":
    main()
</t>
  </si>
  <si>
    <t>Domínio: Web
Ecossistema: Spring Boot
Linguagens: Java
Match (requisitos do projeto):
DOM: M (1/2)[web] S (0/1)[] C (0/1)[]
ECO: M (0/3)[] S (0/1)[] C (0/1)[]
LING: M (0/3)[] S (1/2)[java] C (0/2)[]
Colaboração (somente com membros desta equipe):
265-169: SEM_COMUM
265-174: SEM_COMUM
265-524: SEM_COMUM</t>
  </si>
  <si>
    <t>Domínio: Desktop
Ecossistema: .NET
Linguagens: C#
Match (requisitos do projeto):
DOM: M (0/2)[] S (0/1)[] C (1/1)[desktop]
ECO: M (0/3)[] S (1/1)[.net] C (0/1)[]
LING: M (0/3)[] S (1/2)[c#] C (0/2)[]
Colaboração (somente com membros desta equipe):
524-169: SEM_COMUM
524-174: SEM_COMUM
524-265: SEM_COMUM</t>
  </si>
  <si>
    <t>[Dev331;Dev36;Dev181;Dev494]</t>
  </si>
  <si>
    <t>Domínio: Web
Ecossistema: React
Linguagens: JavaScript
Match (requisitos do projeto):
DOM: M (1/2)[web] S (0/1)[] C (0/1)[]
ECO: M (1/3)[react] S (0/1)[] C (0/1)[]
LING: M (1/3)[javascript] S (0/2)[] C (0/2)[]
Colaboração (somente com membros desta equipe):
169-174: SEM_COMUM
169-265: SEM_COMUM
169-524: SEM_COMUM</t>
  </si>
  <si>
    <t>[Dev479;Dev389;Dev357;Dev316]</t>
  </si>
  <si>
    <t>[Dev65;Dev71;Dev63;Dev261]</t>
  </si>
  <si>
    <t>[Dev508;Dev193;Dev36;Dev335]</t>
  </si>
  <si>
    <t>python compute_rank_metrics.py --in rank_ex
pert_rank_bn.csv  --expert-col rank_expert --k 5 --out metrics_rank.csv</t>
  </si>
  <si>
    <t>[Dev242;Dev168;Dev446;Dev93]</t>
  </si>
  <si>
    <t>0.000260,0.643200,0.356526,0.000014,0.000000</t>
  </si>
  <si>
    <t>[Dev568;Dev463;Dev7;Dev498]</t>
  </si>
  <si>
    <t>[Dev67;Dev94;Dev291;Dev450]</t>
  </si>
  <si>
    <t>OK</t>
  </si>
  <si>
    <t>0.000000,0.000000,0.000080,0.588534,0.411386</t>
  </si>
  <si>
    <t>H</t>
  </si>
  <si>
    <t>M</t>
  </si>
  <si>
    <t>VH</t>
  </si>
  <si>
    <t>DOM M(2/2)[web, cloud] S(1/1)[mobile] C(0/1)[] | ECO M(2/3)[react, aws lambda] S(0/1)[] C(1/1)[android] | LING M(2/3)[javascript, python] S(0/2)[] C(1/2)[kotlin]</t>
  </si>
  <si>
    <t>desktop,web</t>
  </si>
  <si>
    <t>cloud</t>
  </si>
  <si>
    <t>.net</t>
  </si>
  <si>
    <t>c#</t>
  </si>
  <si>
    <t>0.959155,0.040845,0.000000,0.000000,0.000000</t>
  </si>
  <si>
    <t>Domínio: Cloud
Ecossistema: AWS Lambda
Linguagens: Python
Match (requisitos do projeto):
DOM: M (1/2)[cloud] S (0/1)[] C (0/1)[]
ECO: M (1/3)[aws lambda] S (0/1)[] C (0/1)[]
LING: M (1/3)[python] S (0/2)[] C (0/2)[]
Colaboração (somente com membros desta equipe):
438-297: SEM_COMUM
438-461: SEM_COMUM
438-558: SEM_COMUM</t>
  </si>
  <si>
    <t>Domínio: Mobile
Ecossistema: Android
Linguagens: Kotlin
Match (requisitos do projeto):
DOM: M (0/2)[] S (1/1)[mobile] C (0/1)[]
ECO: M (0/3)[] S (0/1)[] C (1/1)[android]
LING: M (0/3)[] S (0/2)[] C (1/2)[kotlin]
Colaboração (somente com membros desta equipe):
558-297: SEM_COMUM
558-438: P85(,osf=0.784,slf=0.538) | 558-461: P183(,osf=0.476,slf=0.842); P184(,osf=0.615,slf=0.450); P188(,osf=0.655,slf=0.631); P219(,osf=0.351,slf=0.534); P269(,osf=0.400,slf=0.408); P274(,osf=0.411,slf=0.591)
558-461: SEM_COMUM</t>
  </si>
  <si>
    <t>Domínio: Web
Ecossistema: React
Linguagens: JavaScript
Match (requisitos do projeto):
DOM: M (1/2)[web] S (0/1)[] C (0/1)[]
ECO: M (1/3)[react] S (0/1)[] C (0/1)[]
LING: M (1/3)[javascript] S (0/2)[] C (0/2)[]
Colaboração (somente com membros desta equipe):
461-297: SEM_COMUM
461-438: SEM_COMUM
461-558: P183(,osf=0.476,slf=0.842); P184(,osf=0.615,slf=0.450); P188(,osf=0.655,slf=0.631); P219(,osf=0.351,slf=0.534); P269(,osf=0.400,slf=0.408); P274(,osf=0.411,slf=0.591)</t>
  </si>
  <si>
    <t>Domínio: Web
Ecossistema: Node.js
Linguagens: JavaScript
Match (requisitos do projeto):
DOM: M (1/2)[web] S (0/1)[] C (0/1)[]
ECO: M (0/3)[] S (0/1)[] C (0/1)[]
LING: M (1/3)[javascript] S (0/2)[] C (0/2)[]
Colaboração (somente com membros desta equipe):
297-438: SEM_COMUM
297-461: SEM_COMUM
297-558: SEM_COMUM</t>
  </si>
  <si>
    <t>0.102481,0.815768,0.081708,0.000044,0.000000</t>
  </si>
  <si>
    <t>ECO faltam 1 | LING faltam 1</t>
  </si>
  <si>
    <t>DOM M(2/2)[web, cloud] S(1/1)[mobile] C(0/1)[] | ECO M(2/3)[react, aws lambda] S(0/1)[] C(1/1)[android] | LING M(2/3)[javascript, python] S(0/2)[] C(2/2)[kotlin, swift]</t>
  </si>
  <si>
    <t>0.132866,0.865190,0.001944,0.000000,0.000000</t>
  </si>
  <si>
    <t>0.000000,0.000000,1.000000,0.000000,0.000000</t>
  </si>
  <si>
    <t>ios,ipados</t>
  </si>
  <si>
    <t>swift</t>
  </si>
  <si>
    <t>Domínio: Mobile
Ecossistema: Android
Linguagens: Kotlin
Match (requisitos do projeto):
DOM: M (0/2)[] S (1/1)[mobile] C (0/1)[]
ECO: M (0/3)[] S (0/1)[] C (1/1)[android]
LING: M (0/3)[] S (0/2)[] C (1/2)[kotlin]
Colaboração (somente com membros desta equipe):
324-250: SEM_COMUM
324-370: SEM_COMUM
324-439: SEM_COMUM</t>
  </si>
  <si>
    <t>Domínio: Web
Ecossistema: React
Linguagens: JavaScript
Match (requisitos do projeto):
DOM: M (1/2)[web] S (0/1)[] C (0/1)[]
ECO: M (1/3)[react] S (0/1)[] C (0/1)[]
LING: M (1/3)[javascript] S (0/2)[] C (0/2)[]
Colaboração (somente com membros desta equipe):
439-250: SEM_COMUM
439-324: SEM_COMUM
439-370: SEM_COMUM</t>
  </si>
  <si>
    <t>Domínio: Mobile
Ecossistema: iOS/iPadOS
Linguagens: Swift
Match (requisitos do projeto):
DOM: M (0/2)[] S (1/1)[mobile] C (0/1)[]
ECO: M (0/3)[] S (0/1)[] C (0/1)[]
LING: M (0/3)[] S (0/2)[] C (1/2)[swift]
Colaboração (somente com membros desta equipe):
370-250: SEM_COMUM
370-324: SEM_COMUM
370-439: SEM_COMUM</t>
  </si>
  <si>
    <t>Domínio: Cloud
Ecossistema: AWS Lambda
Linguagens: Python
Match (requisitos do projeto):
DOM: M (1/2)[cloud] S (0/1)[] C (0/1)[]
ECO: M (1/3)[aws lambda] S (0/1)[] C (0/1)[]
LING: M (1/3)[python] S (0/2)[] C (0/2)[]
Colaboração (somente com membros desta equipe):
250-324: SEM_COMUM
250-370: SEM_COMUM
250-439: SEM_COMUM</t>
  </si>
  <si>
    <t>0.729460,0.268379,0.002161,0.000000,0.000000</t>
  </si>
  <si>
    <t>0/2</t>
  </si>
  <si>
    <t>DOM faltam 1 | ECO faltam 2 | LING faltam 2</t>
  </si>
  <si>
    <t>DOM M(1/2)[cloud] S(1/1)[mobile] C(0/1)[] | ECO M(1/3)[aws lambda] S(0/1)[] C(1/1)[android] | LING M(1/3)[python] S(0/2)[] C(2/2)[kotlin, swift]</t>
  </si>
  <si>
    <t>java</t>
  </si>
  <si>
    <t>c#,java</t>
  </si>
  <si>
    <t>0.191098,0.739495,0.069397,0.000010,0.000000</t>
  </si>
  <si>
    <t>Domínio: Mobile
Ecossistema: iOS/iPadOS
Linguagens: Swift
Match (requisitos do projeto):
DOM: M (0/2)[] S (1/1)[mobile] C (0/1)[]
ECO: M (0/3)[] S (0/1)[] C (0/1)[]
LING: M (0/3)[] S (0/2)[] C (1/2)[swift]
Colaboração (somente com membros desta equipe):
331-36: SEM_COMUM
331-181: SEM_COMUM
331-494: SEM_COMUM</t>
  </si>
  <si>
    <t>Domínio: Mobile
Ecossistema: Android
Linguagens: Kotlin
Match (requisitos do projeto):
DOM: M (0/2)[] S (1/1)[mobile] C (0/1)[]
ECO: M (0/3)[] S (0/1)[] C (1/1)[android]
LING: M (0/3)[] S (0/2)[] C (1/2)[kotlin]
Colaboração (somente com membros desta equipe):
36-181: P82(,osf=0.567,slf=0.737)
36-331: SEM_COMUM
36-494: SEM_COMUM</t>
  </si>
  <si>
    <t>Domínio: Cloud
Ecossistema: AWS Lambda
Linguagens: Python
Match (requisitos do projeto):
DOM: M (1/2)[cloud] S (0/1)[] C (0/1)[]
ECO: M (1/3)[aws lambda] S (0/1)[] C (0/1)[]
LING: M (1/3)[python] S (0/2)[] C (0/2)[]
Colaboração (somente com membros desta equipe):
181-36: P82(,osf=0.567,slf=0.737)
181-331: SEM_COMUM
181-494: SEM_COMUM</t>
  </si>
  <si>
    <t>Domínio: Cloud
Ecossistema: AWS Lambda
Linguagens: Python
Match (requisitos do projeto):
DOM: M (1/2)[cloud] S (0/1)[] C (0/1)[]
ECO: M (1/3)[aws lambda] S (0/1)[] C (0/1)[]
LING: M (1/3)[python] S (0/2)[] C (0/2)[]
Colaboração (somente com membros desta equipe):
494-36: SEM_COMUM
494-181: SEM_COMUM
494-331: SEM_COMUM</t>
  </si>
  <si>
    <t>0.252112,0.747457,0.000431,0.000000,0.000000</t>
  </si>
  <si>
    <t>android</t>
  </si>
  <si>
    <t>kotlin</t>
  </si>
  <si>
    <t>0.004844,0.905825,0.089331,0.000000,0.000000</t>
  </si>
  <si>
    <t>DOM M(1/2)[web] S(1/1)[mobile] C(0/1)[] | ECO M(0/3)[] S(0/1)[] C(1/1)[android] | LING M(2/3)[javascript, typescript] S(0/2)[] C(1/2)[kotlin]</t>
  </si>
  <si>
    <t>0.000000,0.059900,0.932845,0.007255,0.000000</t>
  </si>
  <si>
    <t>android,ios,ipados</t>
  </si>
  <si>
    <t>kotlin,swift</t>
  </si>
  <si>
    <t>0.017959,0.941256,0.040785,0.000000,0.000000</t>
  </si>
  <si>
    <t>1/3</t>
  </si>
  <si>
    <t>DOM faltam 1 | LING faltam 1</t>
  </si>
  <si>
    <t>0.000418,0.744821,0.254759,0.000002,0.000000</t>
  </si>
  <si>
    <t>aws lambda</t>
  </si>
  <si>
    <t>Domínio: Web
Ecossistema: Angular
Linguagens: TypeScript
Match (requisitos do projeto):
DOM: M (1/2)[web] S (0/1)[] C (0/1)[]
ECO: M (0/3)[] S (0/1)[] C (0/1)[]
LING: M (1/3)[typescript] S (0/2)[] C (0/2)[]
Colaboração (somente com membros desta equipe):
479-316: SEM_COMUM
479-357: SEM_COMUM
479-389: SEM_COMUM</t>
  </si>
  <si>
    <t>Domínio: Mobile
Ecossistema: Android
Linguagens: Kotlin
Match (requisitos do projeto):
DOM: M (0/2)[] S (1/1)[mobile] C (0/1)[]
ECO: M (0/3)[] S (0/1)[] C (1/1)[android]
LING: M (0/3)[] S (0/2)[] C (1/2)[kotlin]
Colaboração (somente com membros desta equipe):
389-316: SEM_COMUM
389-357: SEM_COMUM
389-479: SEM_COMUM</t>
  </si>
  <si>
    <t>Domínio: Web
Ecossistema: Node.js
Linguagens: JavaScript
Match (requisitos do projeto):
DOM: M (1/2)[web] S (0/1)[] C (0/1)[]
ECO: M (0/3)[] S (0/1)[] C (0/1)[]
LING: M (1/3)[javascript] S (0/2)[] C (0/2)[]
Colaboração (somente com membros desta equipe):
357-316: SEM_COMUM
357-389: SEM_COMUM
357-479: SEM_COMUM</t>
  </si>
  <si>
    <t>Domínio: Web
Ecossistema: Node.js
Linguagens: JavaScript
Match (requisitos do projeto):
DOM: M (1/2)[web] S (0/1)[] C (0/1)[]
ECO: M (0/3)[] S (0/1)[] C (0/1)[]
LING: M (1/3)[javascript] S (0/2)[] C (0/2)[]
Colaboração (somente com membros desta equipe):
316-357: SEM_COMUM
316-389: SEM_COMUM
316-479: SEM_COMUM</t>
  </si>
  <si>
    <t>DOM faltam 2 | ECO faltam 1 | LING faltam 2</t>
  </si>
  <si>
    <t>desktop</t>
  </si>
  <si>
    <t>c++</t>
  </si>
  <si>
    <t>DOM M(2/2)[hardware, embedded] S(1/1)[iot] C(1/1)[cloud] | ECO M(2/2)[pcb, desenvolvimento de placa] S(1/1)[eletrônica (circuitos lógicos e analógicos)] C(2/2)[instrumentação (osciloscópio, analisador lógico), prototipação] | LING M(1/1)[c] S(1/1)[c++] C(1/1)[python]</t>
  </si>
  <si>
    <t>0.499516,0.500444,0.000040,0.000000,0.000000</t>
  </si>
  <si>
    <t>ECO faltam 1</t>
  </si>
  <si>
    <t>0.000000,0.000000,0.022857,0.954499,0.022644</t>
  </si>
  <si>
    <t>Domínio: IoT, Web, Embedded
Ecossistema: iOS/iPadOS, PCB, Prototipação
Linguagens: C++, Java, C
Match (requisitos do projeto):
DOM: M (1/2)[embedded] S (1/1)[iot] C (0/1)[]
ECO: M (1/2)[pcb] S (0/1)[] C (1/2)[prototipação]
LING: M (1/1)[c] S (1/1)[c++] C (0/1)[]
Colaboração (somente com membros desta equipe):
65-71: SEM_COMUM
65-63: SEM_COMUM
65-261: P11(osf=0.460,slf=0.781); P76(osf=0.821,slf=0.637); P118(osf=0.593,slf=0.504)</t>
  </si>
  <si>
    <t>Domínio: IoT, Web, Hardware
Ecossistema: iOS/iPadOS, Desenvolvimento de Placa
Linguagens: HTML, JavaScript, Python, C
Match (requisitos do projeto):
DOM: M (1/2)[hardware] S (1/1)[iot] C (0/1)[]
ECO: M (1/2)[desenvolvimento de placa] S (0/1)[] C (0/2)[]
LING: M (1/1)[c] S (0/1)[] C (1/1)[python]
Colaboração (somente com membros desta equipe):
71-63: SEM_COMUM
71-65: SEM_COMUM
71-261: SEM_COMUM</t>
  </si>
  <si>
    <t>Domínio: IoT
Ecossistema: Eletrônica (circuitos lógicos e analógicos)
Linguagens: Lua, Java
Match (requisitos do projeto):
DOM: M (0/2)[] S (1/1)[iot] C (0/1)[]
ECO: M (0/2)[] S (1/1)[eletrônica (circuitos lógicos e analógicos)] C (0/2)[]
LING: M (0/1)[] S (0/1)[] C (0/1)[]
Colaboração (somente com membros desta equipe):
63-71: SEM_COMUM
63-65: SEM_COMUM
63-261: SEM_COMUM</t>
  </si>
  <si>
    <t>Domínio: Cloud
Ecossistema: AWS Lambda, Instrumentação (osciloscópio, analisador lógico)
Linguagens: Python
Match (requisitos do projeto):
DOM: M (0/2)[] S (0/1)[] C (1/1)[cloud]
ECO: M (0/2)[] S (0/1)[] C (1/2)[instrumentação (osciloscópio, analisador lógico)]
LING: M (0/1)[] S (0/1)[] C (1/1)[python]
Colaboração (somente com membros desta equipe):
261-71: SEM_COMUM
261-63: SEM_COMUM
261-65: P76(osf=0.821,slf=0.637); P11(osf=0.460,slf=0.781); P118(osf=0.593,slf=0.504)</t>
  </si>
  <si>
    <t>0.006226,0.910385,0.083389,0.000000,0.000000</t>
  </si>
  <si>
    <t>0.000000,0.133387,0.864683,0.001929,0.000000</t>
  </si>
  <si>
    <t>0.000223,0.074984,0.902940,0.021853,0.000000</t>
  </si>
  <si>
    <t>0.000000,0.059379,0.933277,0.007344,0.000000</t>
  </si>
  <si>
    <t>Domínio: Web, Embedded
Ecossistema: React, PCB
Linguagens: JavaScript, C
Match (requisitos do projeto):
DOM: M (1/2)[embedded] S (0/1)[] C (0/1)[]
ECO: M (1/2)[pcb] S (0/1)[] C (0/2)[]
LING: M (1/1)[c] S (0/1)[] C (0/1)[]
Colaboração (somente com membros desta equipe):
508-36: SEM_COMUM
508-193: SEM_COMUM
508-335: SEM_COMUM</t>
  </si>
  <si>
    <t>Domínio: Web, Hardware
Ecossistema: Spring Boot, Desenvolvimento de Placa
Linguagens: Java, C++, Python
Match (requisitos do projeto):
DOM: M (1/2)[hardware] S (0/1)[] C (0/1)[]
ECO: M (1/2)[desenvolvimento de placa] S (0/1)[] C (0/2)[]
LING: M (0/1)[] S (1/1)[c++] C (1/1)[python]
Colaboração (somente com membros desta equipe):
193-36: SEM_COMUM
193-335: SEM_COMUM
193-508: SEM_COMUM</t>
  </si>
  <si>
    <t>Domínio: Mobile, IoT
Ecossistema: Android, Eletrônica (circuitos lógicos e analógicos), Prototipação
Linguagens: Kotlin, C++
Match (requisitos do projeto):
DOM: M (0/2)[] S (1/1)[iot] C (0/1)[]
ECO: M (0/2)[] S (1/1)[eletrônica (circuitos lógicos e analógicos)] C (1/2)[prototipação]
LING: M (0/1)[] S (1/1)[c++] C (0/1)[]
Colaboração (somente com membros desta equipe):
36-193: SEM_COMUM
36-335: SEM_COMUM
36-508: SEM_COMUM</t>
  </si>
  <si>
    <t>Domínio: Desktop, Cloud
Ecossistema: .NET, Instrumentação (osciloscópio, analisador lógico)
Linguagens: C#, C
Match (requisitos do projeto):
DOM: M (0/2)[] S (0/1)[] C (1/1)[cloud]
ECO: M (0/2)[] S (0/1)[] C (1/2)[instrumentação (osciloscópio, analisador lógico)]
LING: M (1/1)[c] S (0/1)[] C (0/1)[]
Colaboração (somente com membros desta equipe):
335-508: P196(osf=0.888,slf=0.339)
335-193: P85(osf=0.784,slf=0.538); P82(osf=0.567,slf=0.737)
335-36: P82(osf=0.567,slf=0.737)</t>
  </si>
  <si>
    <t>0.018002,0.941343,0.040655,0.000000,0.000000</t>
  </si>
  <si>
    <t>0.000427,0.746691,0.252880,0.000002,0.000000</t>
  </si>
  <si>
    <t>angular</t>
  </si>
  <si>
    <t>python,typescript</t>
  </si>
  <si>
    <t>mongodb</t>
  </si>
  <si>
    <t>Domínio: Web, Embedded, Hardware
Ecossistema: Node.js, PCB
Linguagens: JavaScript, C, C++
Match (requisitos do projeto):
DOM: M (2/2)[hardware, embedded] S (0/1)[] C (0/1)[]
ECO: M (1/2)[pcb] S (0/1)[] C (0/2)[]
LING: M (1/1)[c] S (1/1)[c++] C (0/1)[]
Colaboração (somente com membros desta equipe):
242-93: SEM_COMUM
242-168: SEM_COMUM
242-446: SEM_COMUM</t>
  </si>
  <si>
    <t>Domínio: Mobile, IoT
Ecossistema: Android, Eletrônica (circuitos lógicos e analógicos)
Linguagens: Kotlin
Match (requisitos do projeto):
DOM: M (0/2)[] S (1/1)[iot] C (0/1)[]
ECO: M (0/2)[] S (1/1)[eletrônica (circuitos lógicos e analógicos)] C (0/2)[]
LING: M (0/1)[] S (0/1)[] C (0/1)[]
Colaboração (somente com membros desta equipe [Dev242, Dev168, Dev446, Dev93]):
168-242: SEM_COMUM
168-446: SEM_COMUM
168-93: SEM_COMUM</t>
  </si>
  <si>
    <t>Domínio: Mobile
Ecossistema: Android, Desenvolvimento de Placa, Prototipação
Linguagens: Kotlin
Match (requisitos do projeto):
DOM: M (0/2)[] S (0/1)[] C (0/1)[]
ECO: M (1/2)[desenvolvimento de placa] S (0/1)[] C (1/2)[prototipação]
LING: M (0/1)[] S (0/1)[] C (0/1)[]
Colaboração (somente com membros desta equipe):
446-93: SEM_COMUM
446-168: SEM_COMUM
446-242: SEM_COMUM</t>
  </si>
  <si>
    <t>Domínio: Desktop, Cloud
Ecossistema: .NET, Instrumentação (osciloscópio, analisador lógico)
Linguagens: C#, Python
Match (requisitos do projeto):
DOM: M (0/2)[] S (0/1)[] C (1/1)[cloud]
ECO: M (0/2)[] S (0/1)[] C (1/2)[instrumentação (osciloscópio, analisador lógico)]
LING: M (0/1)[] S (0/1)[] C (1/1)[python]
Colaboração (somente com membros desta equipe):
93-168: SEM_COMUM
93-242: SEM_COMUM
93-446: SEM_COMUM</t>
  </si>
  <si>
    <t>0.008418,0.916573,0.075009,0.000000,0.000000</t>
  </si>
  <si>
    <t>2/3</t>
  </si>
  <si>
    <t>0.000001,0.251144,0.748419,0.000436,0.000000</t>
  </si>
  <si>
    <t>cloud,web</t>
  </si>
  <si>
    <t>aws lambda,react</t>
  </si>
  <si>
    <t>DOM M(0/2)[] S(0/1)[] C(0/1)[] | ECO M(0/2)[] S(0/1)[] C(0/3)[] | LING M(0/1)[] S(0/1)[] C(0/1)[]</t>
  </si>
  <si>
    <t>javascript,python</t>
  </si>
  <si>
    <t>0.867010,0.132989,0.000000,0.000000,0.000000</t>
  </si>
  <si>
    <t>0.000421,0.745465,0.254113,0.000002,0.000000</t>
  </si>
  <si>
    <t>Domínio: Web
 Ecossistema: React
 Linguagens: JavaScript
 Match (requisitos do projeto):
 DOM: M (0/2)[] S (0/1)[] C (0/1)[]
 ECO: M (0/2)[] S (0/1)[] C (0/2)[]
 LING: M (0/1)[] S (0/1)[] C (0/1)[]
 Colaboração (somente com membros desta equipe [Dev568, Dev463, Dev7, Dev498]):
 568-463: P184(osf=0.615,slf=0.450); P272(osf=0.487,slf=0.637); P274(osf=0.411,slf=0.591)
 568-7: SEM_COMUM
 568-498: SEM_COMUM</t>
  </si>
  <si>
    <t>0.910771,0.089228,0.000000,0.000000,0.000000</t>
  </si>
  <si>
    <t>0/3</t>
  </si>
  <si>
    <t>Domínio: Web
 Ecossistema: Vue
 Linguagens: JavaScript
 Match (requisitos do projeto):
 DOM: M (0/2)[] S (0/1)[] C (0/1)[]
 ECO: M (0/2)[] S (0/1)[] C (0/3)[]
 LING: M (0/1)[] S (0/1)[] C (0/1)[]
 Colaboração (somente com membros desta equipe):
 463-7: SEM_COMUM
 463-498: SEM_COMUM
 463-568: SEM_COMUM</t>
  </si>
  <si>
    <t>Domínio: Web
 Ecossistema: React
 Linguagens: JavaScript
 Match (requisitos do projeto):
 DOM: M (0/2)[] S (0/1)[] C (0/1)[]
 ECO: M (0/2)[] S (0/1)[] C (0/3)[]
 LING: M (0/1)[] S (0/1)[] C (0/1)[]
 Colaboração (somente com membros desta equipe):
 7-463: SEM_COMUM
 7-498: SEM_COMUM
 7-568: SEM_COMUM</t>
  </si>
  <si>
    <t>Domínio: Mobile
 Ecossistema: Android
 Linguagens: Kotlin
 Match (requisitos do projeto):
 DOM: M (0/2)[] S (0/1)[] C (0/1)[]
 ECO: M (0/2)[] S (0/1)[] C (0/2)[]
 LING: M (0/1)[] S (1/1)[kotlin] C (0/1)[]
 Colaboração (somente com membros desta equipe [Dev568, Dev463, Dev7, Dev498]):
 498-568: SEM_COMUM
 498-463: P85(osf=0.784,slf=0.538); P82(osf=0.567,slf=0.737)
 498-7: P85(osf=0.784,slf=0.538); P82(osf=0.567,slf=0.737)</t>
  </si>
  <si>
    <t>DOM faltam 1 | ECO faltam 3 | LING faltam 1</t>
  </si>
  <si>
    <t>0.059028,0.933567,0.007405,0.000000,0.000000</t>
  </si>
  <si>
    <t>0.245578,0.737049,0.017373,0.000000,0.000000</t>
  </si>
  <si>
    <t>embedded,hardware</t>
  </si>
  <si>
    <t>iot</t>
  </si>
  <si>
    <t>desenvolvimento de placa,pcb</t>
  </si>
  <si>
    <t>eletrônica (circuitos lógicos e analógicos)</t>
  </si>
  <si>
    <t>analisador lógico),instrumentação (osciloscópio,prototipação</t>
  </si>
  <si>
    <t>c</t>
  </si>
  <si>
    <t>Domínio: Web
 Ecossistema: Spring Boot
 Linguagens: Java
 Match (requisitos do projeto):
 DOM: M (0/2)[] S (0/1)[] C (0/1)[]
 ECO: M (0/2)[] S (0/1)[] C (0/2)[]
 LING: M (0/1)[] S (0/1)[] C (0/1)[]
 Colaboração (somente com membros desta equipe [Dev498, Dev67, Dev94, Dev291]):
 67-498: SEM_COMUM
 67-94: SEM_COMUM
 67-291: SEM_COMUM</t>
  </si>
  <si>
    <t>Domínio: Web
 Ecossistema: Vue
 Linguagens: JavaScript
 Match (requisitos do projeto):
 DOM: M (0/2)[] S (0/1)[] C (0/1)[]
 ECO: M (0/2)[] S (0/1)[] C (0/2)[]
 LING: M (0/1)[] S (0/1)[] C (0/1)[]
 Colaboração (somente com membros desta equipe [Dev498, Dev67, Dev94, Dev291]):
 94-498: SEM_COMUM
 94-67: SEM_COMUM
 94-291: P82(osf=0.567,slf=0.737)</t>
  </si>
  <si>
    <t>Domínio: Desktop
 Ecossistema: .NET
 Linguagens: C#
 Match (requisitos do projeto):
 DOM: M (0/2)[] S (0/1)[] C (0/1)[]
 ECO: M (0/2)[] S (0/1)[] C (0/2)[]
 LING: M (0/1)[] S (0/1)[] C (0/1)[]
 Colaboração (somente com membros desta equipe [Dev498, Dev67, Dev94, Dev291]):
 291-498: SEM_COMUM
 291-67: SEM_COMUM
 291-94: P82(osf=0.567,slf=0.737)</t>
  </si>
  <si>
    <t>Domínio: Desktop
 Ecossistema: .NET
 Linguagens: C#
 Match (requisitos do projeto):
 DOM: M (0/2)[] S (0/1)[] C (0/1)[]
 ECO: M (0/2)[] S (0/1)[] C (0/3)[]
 LING: M (0/1)[] S (0/1)[] C (0/1)[]
 Colaboração (somente com membros desta equipe):
 450-67: SEM_COMUM
 450-94: SEM_COMUM
 450-291: SEM_COMUM</t>
  </si>
  <si>
    <t>-</t>
  </si>
  <si>
    <t>DOM faltam 2 | ECO faltam 2 | LING faltam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</si>
</sst>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/>
    <font>
      <b/>
      <color rgb="FFFFFFFF"/>
      <name val="Arial"/>
    </font>
    <font>
      <sz val="9.0"/>
      <color rgb="FFFFFFFF"/>
      <name val="Arial"/>
    </font>
    <font>
      <b/>
      <color theme="1"/>
      <name val="Arial"/>
    </font>
    <font>
      <color theme="1"/>
      <name val="Arial"/>
    </font>
    <font>
      <b/>
      <color rgb="FF375623"/>
      <name val="Arial"/>
    </font>
    <font>
      <b/>
      <color rgb="FFC00000"/>
      <name val="Arial"/>
    </font>
    <font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2" fontId="2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4" fontId="1" numFmtId="0" xfId="0" applyFill="1" applyFont="1"/>
    <xf borderId="0" fillId="5" fontId="1" numFmtId="0" xfId="0" applyAlignment="1" applyFill="1" applyFont="1">
      <alignment readingOrder="0"/>
    </xf>
    <xf borderId="0" fillId="5" fontId="1" numFmtId="0" xfId="0" applyAlignment="1" applyFill="1" applyFont="1">
      <alignment readingOrder="0" shrinkToFit="0" wrapText="1"/>
    </xf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readingOrder="0" shrinkToFit="0" wrapText="1"/>
    </xf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0" xfId="0" applyAlignment="1" applyFill="1" applyFont="1">
      <alignment readingOrder="0" shrinkToFit="0" wrapText="1"/>
    </xf>
    <xf borderId="0" fillId="7" fontId="1" numFmtId="0" xfId="0" applyFill="1" applyFont="1"/>
    <xf borderId="0" fillId="8" fontId="1" numFmtId="0" xfId="0" applyAlignment="1" applyFill="1" applyFont="1">
      <alignment readingOrder="0"/>
    </xf>
    <xf borderId="0" fillId="8" fontId="1" numFmtId="0" xfId="0" applyAlignment="1" applyFill="1" applyFont="1">
      <alignment readingOrder="0" shrinkToFit="0" wrapText="1"/>
    </xf>
    <xf borderId="0" fillId="8" fontId="1" numFmtId="0" xfId="0" applyFill="1" applyFont="1"/>
    <xf borderId="1" fillId="0" fontId="1" numFmtId="0" xfId="0" applyAlignment="1" applyBorder="1" applyFont="1">
      <alignment readingOrder="0" vertical="center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" numFmtId="2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4" fillId="0" fontId="4" numFmtId="0" xfId="0" applyBorder="1" applyFont="1"/>
    <xf borderId="0" fillId="0" fontId="1" numFmtId="0" xfId="0" applyAlignment="1" applyFont="1">
      <alignment vertical="center"/>
    </xf>
    <xf borderId="0" fillId="8" fontId="1" numFmtId="2" xfId="0" applyAlignment="1" applyFill="1" applyFont="1" applyNumberFormat="1">
      <alignment readingOrder="0"/>
    </xf>
    <xf borderId="0" fillId="9" fontId="1" numFmtId="2" xfId="0" applyAlignment="1" applyFill="1" applyFont="1" applyNumberFormat="1">
      <alignment readingOrder="0"/>
    </xf>
    <xf borderId="0" fillId="9" fontId="1" numFmtId="0" xfId="0" applyAlignment="1" applyFill="1" applyFont="1">
      <alignment readingOrder="0"/>
    </xf>
    <xf borderId="5" fillId="0" fontId="1" numFmtId="0" xfId="0" applyBorder="1" applyFont="1"/>
    <xf borderId="6" fillId="0" fontId="4" numFmtId="0" xfId="0" applyBorder="1" applyFont="1"/>
    <xf borderId="7" fillId="0" fontId="4" numFmtId="0" xfId="0" applyBorder="1" applyFont="1"/>
    <xf borderId="7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10" fontId="1" numFmtId="0" xfId="0" applyAlignment="1" applyFill="1" applyFont="1">
      <alignment readingOrder="0"/>
    </xf>
    <xf borderId="8" fillId="0" fontId="1" numFmtId="0" xfId="0" applyBorder="1" applyFont="1"/>
    <xf borderId="5" fillId="0" fontId="1" numFmtId="0" xfId="0" applyAlignment="1" applyBorder="1" applyFont="1">
      <alignment readingOrder="0"/>
    </xf>
    <xf borderId="9" fillId="11" fontId="5" numFmtId="0" xfId="0" applyAlignment="1" applyBorder="1" applyFill="1" applyFont="1">
      <alignment horizontal="center" readingOrder="0" shrinkToFit="0" wrapText="1"/>
    </xf>
    <xf borderId="9" fillId="11" fontId="5" numFmtId="0" xfId="0" applyAlignment="1" applyBorder="1" applyFill="1" applyFont="1">
      <alignment horizontal="center" readingOrder="0" shrinkToFit="0" wrapText="0"/>
    </xf>
    <xf borderId="9" fillId="11" fontId="6" numFmtId="0" xfId="0" applyAlignment="1" applyBorder="1" applyFill="1" applyFont="1">
      <alignment horizontal="center" readingOrder="0" shrinkToFit="0" wrapText="1"/>
    </xf>
    <xf borderId="9" fillId="11" fontId="5" numFmtId="0" xfId="0" applyAlignment="1" applyBorder="1" applyFill="1" applyFont="1">
      <alignment horizontal="center" shrinkToFit="0" wrapText="1"/>
    </xf>
    <xf borderId="9" fillId="12" fontId="7" numFmtId="0" xfId="0" applyAlignment="1" applyBorder="1" applyFill="1" applyFont="1">
      <alignment horizontal="center" shrinkToFit="0" wrapText="1"/>
    </xf>
    <xf borderId="9" fillId="12" fontId="3" numFmtId="0" xfId="0" applyBorder="1" applyFill="1" applyFont="1"/>
    <xf borderId="9" fillId="12" fontId="3" numFmtId="0" xfId="0" applyAlignment="1" applyBorder="1" applyFill="1" applyFont="1">
      <alignment shrinkToFit="0" wrapText="0"/>
    </xf>
    <xf borderId="3" fillId="0" fontId="1" numFmtId="0" xfId="0" applyAlignment="1" applyBorder="1" applyFont="1">
      <alignment readingOrder="0"/>
    </xf>
    <xf borderId="9" fillId="13" fontId="8" numFmtId="0" xfId="0" applyAlignment="1" applyBorder="1" applyFill="1" applyFont="1">
      <alignment shrinkToFit="0" wrapText="1"/>
    </xf>
    <xf borderId="9" fillId="13" fontId="8" numFmtId="0" xfId="0" applyAlignment="1" applyBorder="1" applyFill="1" applyFont="1">
      <alignment readingOrder="0" shrinkToFit="0" wrapText="1"/>
    </xf>
    <xf borderId="9" fillId="13" fontId="8" numFmtId="0" xfId="0" applyAlignment="1" applyBorder="1" applyFill="1" applyFont="1">
      <alignment shrinkToFit="0" wrapText="0"/>
    </xf>
    <xf borderId="9" fillId="13" fontId="8" numFmtId="0" xfId="0" applyAlignment="1" applyBorder="1" applyFill="1" applyFont="1">
      <alignment horizontal="center" shrinkToFit="0" wrapText="1"/>
    </xf>
    <xf borderId="9" fillId="13" fontId="9" numFmtId="0" xfId="0" applyAlignment="1" applyBorder="1" applyFill="1" applyFont="1">
      <alignment horizontal="center" shrinkToFit="0" wrapText="1"/>
    </xf>
    <xf borderId="9" fillId="8" fontId="3" numFmtId="0" xfId="0" applyBorder="1" applyFill="1" applyFont="1"/>
    <xf borderId="9" fillId="13" fontId="10" numFmtId="0" xfId="0" applyAlignment="1" applyBorder="1" applyFill="1" applyFont="1">
      <alignment horizontal="center" shrinkToFit="0" wrapText="1"/>
    </xf>
    <xf borderId="9" fillId="14" fontId="8" numFmtId="0" xfId="0" applyAlignment="1" applyBorder="1" applyFill="1" applyFont="1">
      <alignment shrinkToFit="0" wrapText="1"/>
    </xf>
    <xf borderId="9" fillId="14" fontId="8" numFmtId="0" xfId="0" applyAlignment="1" applyBorder="1" applyFill="1" applyFont="1">
      <alignment readingOrder="0" shrinkToFit="0" wrapText="1"/>
    </xf>
    <xf borderId="9" fillId="14" fontId="8" numFmtId="0" xfId="0" applyAlignment="1" applyBorder="1" applyFill="1" applyFont="1">
      <alignment shrinkToFit="0" wrapText="0"/>
    </xf>
    <xf borderId="9" fillId="14" fontId="8" numFmtId="0" xfId="0" applyAlignment="1" applyBorder="1" applyFill="1" applyFont="1">
      <alignment horizontal="center" shrinkToFit="0" wrapText="1"/>
    </xf>
    <xf borderId="10" fillId="14" fontId="8" numFmtId="0" xfId="0" applyAlignment="1" applyBorder="1" applyFill="1" applyFont="1">
      <alignment shrinkToFit="0" wrapText="0"/>
    </xf>
    <xf borderId="11" fillId="13" fontId="8" numFmtId="0" xfId="0" applyAlignment="1" applyBorder="1" applyFill="1" applyFont="1">
      <alignment shrinkToFit="0" wrapText="0"/>
    </xf>
    <xf borderId="12" fillId="13" fontId="8" numFmtId="0" xfId="0" applyAlignment="1" applyBorder="1" applyFill="1" applyFont="1">
      <alignment shrinkToFit="0" wrapText="0"/>
    </xf>
    <xf borderId="13" fillId="13" fontId="8" numFmtId="0" xfId="0" applyAlignment="1" applyBorder="1" applyFill="1" applyFont="1">
      <alignment horizontal="center" shrinkToFit="0" wrapText="1"/>
    </xf>
    <xf borderId="14" fillId="13" fontId="8" numFmtId="0" xfId="0" applyAlignment="1" applyBorder="1" applyFill="1" applyFont="1">
      <alignment shrinkToFit="0" wrapText="0"/>
    </xf>
    <xf borderId="15" fillId="13" fontId="8" numFmtId="0" xfId="0" applyAlignment="1" applyBorder="1" applyFill="1" applyFont="1">
      <alignment shrinkToFit="0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Font="1"/>
    <xf borderId="7" fillId="0" fontId="1" numFmtId="0" xfId="0" applyBorder="1" applyFont="1"/>
    <xf borderId="6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vertical="center"/>
    </xf>
    <xf borderId="0" fillId="0" fontId="1" numFmtId="0" xfId="0" applyAlignment="1" applyFont="1">
      <alignment shrinkToFit="0" wrapText="0"/>
    </xf>
    <xf borderId="9" fillId="0" fontId="8" numFmtId="0" xfId="0" applyAlignment="1" applyBorder="1" applyFont="1">
      <alignment shrinkToFit="0" wrapText="0"/>
    </xf>
    <xf borderId="0" fillId="10" fontId="1" numFmtId="2" xfId="0" applyAlignment="1" applyFill="1" applyFont="1" applyNumberFormat="1">
      <alignment readingOrder="0"/>
    </xf>
    <xf borderId="0" fillId="0" fontId="1" numFmtId="2" xfId="0" applyFont="1" applyNumberFormat="1"/>
    <xf borderId="9" fillId="0" fontId="7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 shrinkToFit="0" wrapText="0"/>
    </xf>
    <xf borderId="9" fillId="8" fontId="3" numFmtId="0" xfId="0" applyAlignment="1" applyBorder="1" applyFill="1" applyFont="1">
      <alignment readingOrder="0"/>
    </xf>
    <xf borderId="9" fillId="0" fontId="3" numFmtId="0" xfId="0" applyBorder="1" applyFont="1"/>
    <xf borderId="9" fillId="0" fontId="7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readingOrder="0" shrinkToFit="0" wrapText="0"/>
    </xf>
    <xf borderId="13" fillId="8" fontId="3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9" fillId="0" fontId="8" numFmtId="0" xfId="0" applyAlignment="1" applyBorder="1" applyFont="1">
      <alignment horizontal="center" shrinkToFit="0" wrapText="1"/>
    </xf>
    <xf borderId="0" fillId="15" fontId="7" numFmtId="0" xfId="0" applyAlignment="1" applyFill="1" applyFont="1">
      <alignment horizontal="center" readingOrder="0" vertical="bottom"/>
    </xf>
    <xf borderId="0" fillId="15" fontId="2" numFmtId="0" xfId="0" applyAlignment="1" applyFill="1" applyFont="1">
      <alignment horizontal="center" readingOrder="0"/>
    </xf>
    <xf borderId="0" fillId="15" fontId="2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2" numFmtId="0" xfId="0" applyFont="1"/>
    <xf borderId="0" fillId="0" fontId="8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vertical="bottom"/>
    </xf>
    <xf borderId="0" fillId="9" fontId="8" numFmtId="0" xfId="0" applyAlignment="1" applyFill="1" applyFont="1">
      <alignment horizontal="right" vertical="bottom"/>
    </xf>
    <xf borderId="7" fillId="0" fontId="1" numFmtId="0" xfId="0" applyAlignment="1" applyBorder="1" applyFont="1">
      <alignment vertical="center"/>
    </xf>
    <xf borderId="0" fillId="8" fontId="8" numFmtId="0" xfId="0" applyAlignment="1" applyFill="1" applyFont="1">
      <alignment horizontal="right" vertical="bottom"/>
    </xf>
    <xf borderId="0" fillId="10" fontId="8" numFmtId="0" xfId="0" applyAlignment="1" applyFill="1" applyFont="1">
      <alignment horizontal="right" vertical="bottom"/>
    </xf>
    <xf borderId="0" fillId="0" fontId="11" numFmtId="0" xfId="0" applyAlignment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18">
      <c r="A18" s="2" t="s">
        <v>1</v>
      </c>
      <c r="B18" s="2" t="s">
        <v>2</v>
      </c>
      <c r="C18" s="3"/>
      <c r="D18" s="3"/>
      <c r="E18" s="2" t="s">
        <v>3</v>
      </c>
      <c r="F18" s="3"/>
      <c r="G18" s="3"/>
    </row>
    <row r="19">
      <c r="A19" s="2" t="s">
        <v>4</v>
      </c>
      <c r="B19" s="2" t="s">
        <v>5</v>
      </c>
      <c r="C19" s="3"/>
      <c r="D19" s="3"/>
      <c r="E19" s="2" t="s">
        <v>6</v>
      </c>
      <c r="F19" s="3"/>
      <c r="G19" s="3"/>
    </row>
  </sheetData>
  <mergeCells count="1">
    <mergeCell ref="A1:L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2.38"/>
    <col customWidth="1" min="4" max="4" width="15.13"/>
    <col customWidth="1" min="5" max="5" width="23.13"/>
    <col customWidth="1" min="6" max="6" width="1186.5"/>
  </cols>
  <sheetData>
    <row r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5.0</v>
      </c>
      <c r="B2" s="6" t="s">
        <v>15</v>
      </c>
      <c r="C2" s="6" t="s">
        <v>16</v>
      </c>
      <c r="D2" s="6" t="s">
        <v>18</v>
      </c>
      <c r="E2" s="6" t="s">
        <v>19</v>
      </c>
      <c r="F2" s="6" t="s">
        <v>20</v>
      </c>
    </row>
    <row r="3">
      <c r="A3" s="6">
        <v>7.0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</row>
    <row r="4">
      <c r="A4" s="6">
        <v>8.0</v>
      </c>
      <c r="B4" s="6" t="s">
        <v>26</v>
      </c>
      <c r="C4" s="6" t="s">
        <v>28</v>
      </c>
      <c r="F4" s="6" t="s">
        <v>29</v>
      </c>
    </row>
    <row r="5">
      <c r="A5" s="6">
        <v>27.0</v>
      </c>
      <c r="B5" s="6" t="s">
        <v>30</v>
      </c>
      <c r="C5" s="6" t="s">
        <v>22</v>
      </c>
      <c r="E5" s="6" t="s">
        <v>24</v>
      </c>
      <c r="F5" s="6" t="s">
        <v>31</v>
      </c>
    </row>
    <row r="6">
      <c r="A6" s="6">
        <v>29.0</v>
      </c>
      <c r="B6" s="6" t="s">
        <v>32</v>
      </c>
      <c r="C6" s="6" t="s">
        <v>22</v>
      </c>
      <c r="D6" s="6" t="s">
        <v>33</v>
      </c>
      <c r="E6" s="6" t="s">
        <v>24</v>
      </c>
      <c r="F6" s="6" t="s">
        <v>34</v>
      </c>
    </row>
    <row r="7">
      <c r="A7" s="6">
        <v>33.0</v>
      </c>
      <c r="B7" s="6" t="s">
        <v>35</v>
      </c>
      <c r="D7" s="6" t="s">
        <v>36</v>
      </c>
      <c r="E7" s="6" t="s">
        <v>24</v>
      </c>
      <c r="F7" s="6" t="s">
        <v>37</v>
      </c>
    </row>
    <row r="8">
      <c r="A8" s="6">
        <v>36.0</v>
      </c>
      <c r="B8" s="6" t="s">
        <v>38</v>
      </c>
      <c r="C8" s="6" t="s">
        <v>16</v>
      </c>
      <c r="D8" s="6" t="s">
        <v>18</v>
      </c>
      <c r="E8" s="6" t="s">
        <v>19</v>
      </c>
      <c r="F8" s="6" t="s">
        <v>39</v>
      </c>
    </row>
    <row r="9">
      <c r="A9" s="6">
        <v>38.0</v>
      </c>
      <c r="B9" s="6" t="s">
        <v>41</v>
      </c>
      <c r="C9" s="6" t="s">
        <v>22</v>
      </c>
      <c r="D9" s="6" t="s">
        <v>43</v>
      </c>
      <c r="F9" s="6" t="s">
        <v>48</v>
      </c>
    </row>
    <row r="10">
      <c r="A10" s="6">
        <v>62.0</v>
      </c>
      <c r="B10" s="6" t="s">
        <v>51</v>
      </c>
      <c r="D10" s="6" t="s">
        <v>53</v>
      </c>
      <c r="F10" s="6" t="s">
        <v>55</v>
      </c>
    </row>
    <row r="11">
      <c r="A11" s="6">
        <v>71.0</v>
      </c>
      <c r="B11" s="6" t="s">
        <v>58</v>
      </c>
      <c r="C11" s="6" t="s">
        <v>59</v>
      </c>
      <c r="D11" s="6" t="s">
        <v>43</v>
      </c>
      <c r="E11" s="6" t="s">
        <v>62</v>
      </c>
      <c r="F11" s="6" t="s">
        <v>37</v>
      </c>
    </row>
    <row r="12">
      <c r="A12" s="6">
        <v>81.0</v>
      </c>
      <c r="B12" s="6" t="s">
        <v>68</v>
      </c>
      <c r="C12" s="6" t="s">
        <v>28</v>
      </c>
      <c r="E12" s="6" t="s">
        <v>24</v>
      </c>
      <c r="F12" s="6" t="s">
        <v>70</v>
      </c>
    </row>
    <row r="13">
      <c r="A13" s="6">
        <v>93.0</v>
      </c>
      <c r="B13" s="6" t="s">
        <v>73</v>
      </c>
      <c r="C13" s="6" t="s">
        <v>74</v>
      </c>
      <c r="D13" s="6" t="s">
        <v>76</v>
      </c>
      <c r="E13" s="6" t="s">
        <v>77</v>
      </c>
      <c r="F13" s="6" t="s">
        <v>79</v>
      </c>
    </row>
    <row r="14">
      <c r="A14" s="6">
        <v>103.0</v>
      </c>
      <c r="B14" s="6" t="s">
        <v>85</v>
      </c>
      <c r="C14" s="6" t="s">
        <v>22</v>
      </c>
      <c r="D14" s="6" t="s">
        <v>86</v>
      </c>
      <c r="E14" s="6" t="s">
        <v>87</v>
      </c>
      <c r="F14" s="6" t="s">
        <v>89</v>
      </c>
    </row>
    <row r="15">
      <c r="A15" s="6">
        <v>104.0</v>
      </c>
      <c r="B15" s="6" t="s">
        <v>90</v>
      </c>
      <c r="C15" s="6" t="s">
        <v>16</v>
      </c>
      <c r="D15" s="6" t="s">
        <v>18</v>
      </c>
      <c r="E15" s="6" t="s">
        <v>19</v>
      </c>
      <c r="F15" s="6" t="s">
        <v>91</v>
      </c>
    </row>
    <row r="16">
      <c r="A16" s="6">
        <v>115.0</v>
      </c>
      <c r="B16" s="6" t="s">
        <v>92</v>
      </c>
      <c r="C16" s="6" t="s">
        <v>22</v>
      </c>
      <c r="D16" s="6" t="s">
        <v>93</v>
      </c>
      <c r="E16" s="6" t="s">
        <v>24</v>
      </c>
      <c r="F16" s="6" t="s">
        <v>37</v>
      </c>
    </row>
    <row r="17">
      <c r="A17" s="6">
        <v>119.0</v>
      </c>
      <c r="B17" s="6" t="s">
        <v>96</v>
      </c>
      <c r="C17" s="6" t="s">
        <v>16</v>
      </c>
      <c r="D17" s="6" t="s">
        <v>43</v>
      </c>
      <c r="E17" s="6" t="s">
        <v>99</v>
      </c>
      <c r="F17" s="6" t="s">
        <v>103</v>
      </c>
    </row>
    <row r="18">
      <c r="A18" s="6">
        <v>142.0</v>
      </c>
      <c r="B18" s="6" t="s">
        <v>105</v>
      </c>
      <c r="C18" s="6" t="s">
        <v>16</v>
      </c>
      <c r="D18" s="6" t="s">
        <v>18</v>
      </c>
      <c r="E18" s="6" t="s">
        <v>19</v>
      </c>
      <c r="F18" s="6" t="s">
        <v>107</v>
      </c>
    </row>
    <row r="19">
      <c r="A19" s="6">
        <v>143.0</v>
      </c>
      <c r="B19" s="6" t="s">
        <v>110</v>
      </c>
      <c r="C19" s="6" t="s">
        <v>98</v>
      </c>
      <c r="D19" s="6" t="s">
        <v>113</v>
      </c>
      <c r="E19" s="6" t="s">
        <v>102</v>
      </c>
      <c r="F19" s="6" t="s">
        <v>116</v>
      </c>
    </row>
    <row r="20">
      <c r="A20" s="6">
        <v>145.0</v>
      </c>
      <c r="B20" s="6" t="s">
        <v>121</v>
      </c>
      <c r="C20" s="6" t="s">
        <v>59</v>
      </c>
      <c r="D20" s="6" t="s">
        <v>43</v>
      </c>
      <c r="E20" s="6" t="s">
        <v>123</v>
      </c>
      <c r="F20" s="6" t="s">
        <v>125</v>
      </c>
    </row>
    <row r="21">
      <c r="A21" s="6">
        <v>154.0</v>
      </c>
      <c r="B21" s="6" t="s">
        <v>128</v>
      </c>
      <c r="C21" s="6" t="s">
        <v>98</v>
      </c>
      <c r="D21" s="6" t="s">
        <v>113</v>
      </c>
      <c r="E21" s="6" t="s">
        <v>102</v>
      </c>
      <c r="F21" s="6" t="s">
        <v>37</v>
      </c>
    </row>
    <row r="22">
      <c r="A22" s="6">
        <v>169.0</v>
      </c>
      <c r="B22" s="6" t="s">
        <v>133</v>
      </c>
      <c r="C22" s="6" t="s">
        <v>22</v>
      </c>
      <c r="D22" s="6" t="s">
        <v>23</v>
      </c>
      <c r="E22" s="6" t="s">
        <v>24</v>
      </c>
      <c r="F22" s="6" t="s">
        <v>37</v>
      </c>
    </row>
    <row r="23">
      <c r="A23" s="6">
        <v>174.0</v>
      </c>
      <c r="B23" s="6" t="s">
        <v>135</v>
      </c>
      <c r="C23" s="6" t="s">
        <v>22</v>
      </c>
      <c r="D23" s="6" t="s">
        <v>33</v>
      </c>
      <c r="E23" s="6" t="s">
        <v>24</v>
      </c>
      <c r="F23" s="6" t="s">
        <v>37</v>
      </c>
    </row>
    <row r="24">
      <c r="A24" s="6">
        <v>181.0</v>
      </c>
      <c r="B24" s="6" t="s">
        <v>139</v>
      </c>
      <c r="C24" s="6" t="s">
        <v>98</v>
      </c>
      <c r="D24" s="6" t="s">
        <v>113</v>
      </c>
      <c r="E24" s="6" t="s">
        <v>102</v>
      </c>
      <c r="F24" s="6" t="s">
        <v>141</v>
      </c>
    </row>
    <row r="25">
      <c r="A25" s="6">
        <v>193.0</v>
      </c>
      <c r="B25" s="6" t="s">
        <v>143</v>
      </c>
      <c r="C25" s="6" t="s">
        <v>22</v>
      </c>
      <c r="D25" s="6" t="s">
        <v>144</v>
      </c>
      <c r="E25" s="6" t="s">
        <v>145</v>
      </c>
      <c r="F25" s="6" t="s">
        <v>148</v>
      </c>
    </row>
    <row r="26">
      <c r="A26" s="6">
        <v>194.0</v>
      </c>
      <c r="B26" s="6" t="s">
        <v>150</v>
      </c>
      <c r="C26" s="6" t="s">
        <v>16</v>
      </c>
      <c r="D26" s="6" t="s">
        <v>18</v>
      </c>
      <c r="E26" s="6" t="s">
        <v>19</v>
      </c>
      <c r="F26" s="6" t="s">
        <v>153</v>
      </c>
    </row>
    <row r="27">
      <c r="A27" s="6">
        <v>198.0</v>
      </c>
      <c r="B27" s="6" t="s">
        <v>155</v>
      </c>
      <c r="C27" s="6" t="s">
        <v>22</v>
      </c>
      <c r="D27" s="6" t="s">
        <v>33</v>
      </c>
      <c r="E27" s="6" t="s">
        <v>24</v>
      </c>
      <c r="F27" s="6" t="s">
        <v>156</v>
      </c>
    </row>
    <row r="28">
      <c r="A28" s="6">
        <v>205.0</v>
      </c>
      <c r="B28" s="6" t="s">
        <v>157</v>
      </c>
      <c r="C28" s="6" t="s">
        <v>16</v>
      </c>
      <c r="D28" s="6" t="s">
        <v>18</v>
      </c>
      <c r="E28" s="6" t="s">
        <v>19</v>
      </c>
      <c r="F28" s="6" t="s">
        <v>159</v>
      </c>
    </row>
    <row r="29">
      <c r="A29" s="6">
        <v>209.0</v>
      </c>
      <c r="B29" s="6" t="s">
        <v>169</v>
      </c>
      <c r="C29" s="6" t="s">
        <v>22</v>
      </c>
      <c r="D29" s="6" t="s">
        <v>93</v>
      </c>
      <c r="E29" s="6" t="s">
        <v>24</v>
      </c>
      <c r="F29" s="6" t="s">
        <v>37</v>
      </c>
    </row>
    <row r="30">
      <c r="A30" s="6">
        <v>225.0</v>
      </c>
      <c r="B30" s="6" t="s">
        <v>170</v>
      </c>
      <c r="C30" s="6" t="s">
        <v>22</v>
      </c>
      <c r="D30" s="6" t="s">
        <v>23</v>
      </c>
      <c r="E30" s="6" t="s">
        <v>24</v>
      </c>
      <c r="F30" s="6" t="s">
        <v>171</v>
      </c>
    </row>
    <row r="31">
      <c r="A31" s="6">
        <v>241.0</v>
      </c>
      <c r="B31" s="6" t="s">
        <v>172</v>
      </c>
      <c r="C31" s="6" t="s">
        <v>22</v>
      </c>
      <c r="D31" s="6" t="s">
        <v>93</v>
      </c>
      <c r="E31" s="6" t="s">
        <v>24</v>
      </c>
      <c r="F31" s="6" t="s">
        <v>37</v>
      </c>
    </row>
    <row r="32">
      <c r="A32" s="6">
        <v>250.0</v>
      </c>
      <c r="B32" s="6" t="s">
        <v>173</v>
      </c>
      <c r="C32" s="6" t="s">
        <v>98</v>
      </c>
      <c r="D32" s="6" t="s">
        <v>113</v>
      </c>
      <c r="E32" s="6" t="s">
        <v>102</v>
      </c>
      <c r="F32" s="6" t="s">
        <v>37</v>
      </c>
    </row>
    <row r="33">
      <c r="A33" s="6">
        <v>263.0</v>
      </c>
      <c r="B33" s="6" t="s">
        <v>174</v>
      </c>
      <c r="C33" s="6" t="s">
        <v>22</v>
      </c>
      <c r="D33" s="6" t="s">
        <v>33</v>
      </c>
      <c r="E33" s="6" t="s">
        <v>24</v>
      </c>
      <c r="F33" s="6" t="s">
        <v>175</v>
      </c>
    </row>
    <row r="34">
      <c r="A34" s="6">
        <v>265.0</v>
      </c>
      <c r="B34" s="6" t="s">
        <v>176</v>
      </c>
      <c r="C34" s="6" t="s">
        <v>22</v>
      </c>
      <c r="D34" s="6" t="s">
        <v>144</v>
      </c>
      <c r="E34" s="6" t="s">
        <v>145</v>
      </c>
      <c r="F34" s="6" t="s">
        <v>37</v>
      </c>
    </row>
    <row r="35">
      <c r="A35" s="6">
        <v>270.0</v>
      </c>
      <c r="B35" s="6" t="s">
        <v>177</v>
      </c>
      <c r="C35" s="6" t="s">
        <v>22</v>
      </c>
      <c r="D35" s="6" t="s">
        <v>86</v>
      </c>
      <c r="E35" s="6" t="s">
        <v>87</v>
      </c>
      <c r="F35" s="6" t="s">
        <v>178</v>
      </c>
    </row>
    <row r="36">
      <c r="A36" s="6">
        <v>283.0</v>
      </c>
      <c r="B36" s="6" t="s">
        <v>179</v>
      </c>
      <c r="C36" s="6" t="s">
        <v>22</v>
      </c>
      <c r="D36" s="6" t="s">
        <v>33</v>
      </c>
      <c r="E36" s="6" t="s">
        <v>24</v>
      </c>
      <c r="F36" s="6" t="s">
        <v>37</v>
      </c>
    </row>
    <row r="37">
      <c r="A37" s="6">
        <v>290.0</v>
      </c>
      <c r="B37" s="6" t="s">
        <v>180</v>
      </c>
      <c r="C37" s="6" t="s">
        <v>22</v>
      </c>
      <c r="D37" s="6" t="s">
        <v>33</v>
      </c>
      <c r="E37" s="6" t="s">
        <v>24</v>
      </c>
      <c r="F37" s="6" t="s">
        <v>181</v>
      </c>
    </row>
    <row r="38">
      <c r="A38" s="6">
        <v>292.0</v>
      </c>
      <c r="B38" s="6" t="s">
        <v>182</v>
      </c>
      <c r="C38" s="6" t="s">
        <v>22</v>
      </c>
      <c r="D38" s="6" t="s">
        <v>93</v>
      </c>
      <c r="E38" s="6" t="s">
        <v>24</v>
      </c>
      <c r="F38" s="6" t="s">
        <v>183</v>
      </c>
    </row>
    <row r="39">
      <c r="A39" s="6">
        <v>293.0</v>
      </c>
      <c r="B39" s="6" t="s">
        <v>184</v>
      </c>
      <c r="C39" s="6" t="s">
        <v>22</v>
      </c>
      <c r="D39" s="6" t="s">
        <v>86</v>
      </c>
      <c r="E39" s="6" t="s">
        <v>87</v>
      </c>
      <c r="F39" s="6" t="s">
        <v>185</v>
      </c>
    </row>
    <row r="40">
      <c r="A40" s="6">
        <v>297.0</v>
      </c>
      <c r="B40" s="6" t="s">
        <v>186</v>
      </c>
      <c r="C40" s="6" t="s">
        <v>22</v>
      </c>
      <c r="D40" s="6" t="s">
        <v>93</v>
      </c>
      <c r="E40" s="6" t="s">
        <v>24</v>
      </c>
      <c r="F40" s="6" t="s">
        <v>37</v>
      </c>
    </row>
    <row r="41">
      <c r="A41" s="6">
        <v>303.0</v>
      </c>
      <c r="B41" s="6" t="s">
        <v>188</v>
      </c>
      <c r="C41" s="6" t="s">
        <v>74</v>
      </c>
      <c r="D41" s="6" t="s">
        <v>76</v>
      </c>
      <c r="E41" s="6" t="s">
        <v>77</v>
      </c>
      <c r="F41" s="6" t="s">
        <v>37</v>
      </c>
    </row>
    <row r="42">
      <c r="A42" s="6">
        <v>308.0</v>
      </c>
      <c r="B42" s="6" t="s">
        <v>189</v>
      </c>
      <c r="C42" s="6" t="s">
        <v>22</v>
      </c>
      <c r="D42" s="6" t="s">
        <v>23</v>
      </c>
      <c r="E42" s="6" t="s">
        <v>24</v>
      </c>
      <c r="F42" s="6" t="s">
        <v>37</v>
      </c>
    </row>
    <row r="43">
      <c r="A43" s="6">
        <v>316.0</v>
      </c>
      <c r="B43" s="6" t="s">
        <v>190</v>
      </c>
      <c r="C43" s="6" t="s">
        <v>22</v>
      </c>
      <c r="D43" s="6" t="s">
        <v>93</v>
      </c>
      <c r="E43" s="6" t="s">
        <v>24</v>
      </c>
      <c r="F43" s="6" t="s">
        <v>37</v>
      </c>
    </row>
    <row r="44">
      <c r="A44" s="6">
        <v>324.0</v>
      </c>
      <c r="B44" s="6" t="s">
        <v>191</v>
      </c>
      <c r="C44" s="6" t="s">
        <v>16</v>
      </c>
      <c r="D44" s="6" t="s">
        <v>18</v>
      </c>
      <c r="E44" s="6" t="s">
        <v>19</v>
      </c>
      <c r="F44" s="6" t="s">
        <v>37</v>
      </c>
    </row>
    <row r="45">
      <c r="A45" s="6">
        <v>326.0</v>
      </c>
      <c r="B45" s="6" t="s">
        <v>192</v>
      </c>
      <c r="C45" s="6" t="s">
        <v>16</v>
      </c>
      <c r="D45" s="6" t="s">
        <v>43</v>
      </c>
      <c r="E45" s="6" t="s">
        <v>99</v>
      </c>
      <c r="F45" s="6" t="s">
        <v>193</v>
      </c>
    </row>
    <row r="46">
      <c r="A46" s="6">
        <v>331.0</v>
      </c>
      <c r="B46" s="6" t="s">
        <v>194</v>
      </c>
      <c r="C46" s="6" t="s">
        <v>16</v>
      </c>
      <c r="D46" s="6" t="s">
        <v>43</v>
      </c>
      <c r="E46" s="6" t="s">
        <v>99</v>
      </c>
      <c r="F46" s="6" t="s">
        <v>37</v>
      </c>
    </row>
    <row r="47">
      <c r="A47" s="6">
        <v>357.0</v>
      </c>
      <c r="B47" s="6" t="s">
        <v>195</v>
      </c>
      <c r="C47" s="6" t="s">
        <v>22</v>
      </c>
      <c r="D47" s="6" t="s">
        <v>93</v>
      </c>
      <c r="E47" s="6" t="s">
        <v>24</v>
      </c>
      <c r="F47" s="6" t="s">
        <v>37</v>
      </c>
    </row>
    <row r="48">
      <c r="A48" s="6">
        <v>363.0</v>
      </c>
      <c r="B48" s="6" t="s">
        <v>196</v>
      </c>
      <c r="C48" s="6" t="s">
        <v>16</v>
      </c>
      <c r="D48" s="6" t="s">
        <v>43</v>
      </c>
      <c r="E48" s="6" t="s">
        <v>99</v>
      </c>
      <c r="F48" s="6" t="s">
        <v>197</v>
      </c>
    </row>
    <row r="49">
      <c r="A49" s="6">
        <v>365.0</v>
      </c>
      <c r="B49" s="6" t="s">
        <v>198</v>
      </c>
      <c r="C49" s="6" t="s">
        <v>22</v>
      </c>
      <c r="D49" s="6" t="s">
        <v>144</v>
      </c>
      <c r="E49" s="6" t="s">
        <v>145</v>
      </c>
      <c r="F49" s="6" t="s">
        <v>37</v>
      </c>
    </row>
    <row r="50">
      <c r="A50" s="6">
        <v>370.0</v>
      </c>
      <c r="B50" s="6" t="s">
        <v>199</v>
      </c>
      <c r="C50" s="6" t="s">
        <v>16</v>
      </c>
      <c r="D50" s="6" t="s">
        <v>43</v>
      </c>
      <c r="E50" s="6" t="s">
        <v>99</v>
      </c>
      <c r="F50" s="6" t="s">
        <v>200</v>
      </c>
    </row>
    <row r="51">
      <c r="A51" s="6">
        <v>389.0</v>
      </c>
      <c r="B51" s="6" t="s">
        <v>201</v>
      </c>
      <c r="C51" s="6" t="s">
        <v>16</v>
      </c>
      <c r="D51" s="6" t="s">
        <v>18</v>
      </c>
      <c r="E51" s="6" t="s">
        <v>19</v>
      </c>
      <c r="F51" s="6" t="s">
        <v>37</v>
      </c>
    </row>
    <row r="52">
      <c r="A52" s="6">
        <v>399.0</v>
      </c>
      <c r="B52" s="6" t="s">
        <v>202</v>
      </c>
      <c r="C52" s="6" t="s">
        <v>74</v>
      </c>
      <c r="D52" s="6" t="s">
        <v>76</v>
      </c>
      <c r="E52" s="6" t="s">
        <v>77</v>
      </c>
      <c r="F52" s="6" t="s">
        <v>203</v>
      </c>
    </row>
    <row r="53">
      <c r="A53" s="6">
        <v>411.0</v>
      </c>
      <c r="B53" s="6" t="s">
        <v>204</v>
      </c>
      <c r="C53" s="6" t="s">
        <v>22</v>
      </c>
      <c r="D53" s="6" t="s">
        <v>144</v>
      </c>
      <c r="E53" s="6" t="s">
        <v>145</v>
      </c>
      <c r="F53" s="6" t="s">
        <v>205</v>
      </c>
    </row>
    <row r="54">
      <c r="A54" s="6">
        <v>415.0</v>
      </c>
      <c r="B54" s="6" t="s">
        <v>206</v>
      </c>
      <c r="C54" s="6" t="s">
        <v>22</v>
      </c>
      <c r="D54" s="6" t="s">
        <v>33</v>
      </c>
      <c r="E54" s="6" t="s">
        <v>24</v>
      </c>
      <c r="F54" s="6" t="s">
        <v>209</v>
      </c>
    </row>
    <row r="55">
      <c r="A55" s="6">
        <v>437.0</v>
      </c>
      <c r="B55" s="6" t="s">
        <v>212</v>
      </c>
      <c r="C55" s="6" t="s">
        <v>16</v>
      </c>
      <c r="D55" s="6" t="s">
        <v>43</v>
      </c>
      <c r="E55" s="6" t="s">
        <v>99</v>
      </c>
      <c r="F55" s="6" t="s">
        <v>215</v>
      </c>
    </row>
    <row r="56">
      <c r="A56" s="6">
        <v>438.0</v>
      </c>
      <c r="B56" s="6" t="s">
        <v>217</v>
      </c>
      <c r="C56" s="6" t="s">
        <v>98</v>
      </c>
      <c r="D56" s="6" t="s">
        <v>113</v>
      </c>
      <c r="E56" s="6" t="s">
        <v>102</v>
      </c>
      <c r="F56" s="6" t="s">
        <v>219</v>
      </c>
    </row>
    <row r="57">
      <c r="A57" s="6">
        <v>439.0</v>
      </c>
      <c r="B57" s="6" t="s">
        <v>220</v>
      </c>
      <c r="C57" s="6" t="s">
        <v>22</v>
      </c>
      <c r="D57" s="6" t="s">
        <v>23</v>
      </c>
      <c r="E57" s="6" t="s">
        <v>24</v>
      </c>
      <c r="F57" s="6" t="s">
        <v>37</v>
      </c>
    </row>
    <row r="58">
      <c r="A58" s="6">
        <v>446.0</v>
      </c>
      <c r="B58" s="6" t="s">
        <v>222</v>
      </c>
      <c r="C58" s="6" t="s">
        <v>16</v>
      </c>
      <c r="D58" s="6" t="s">
        <v>18</v>
      </c>
      <c r="E58" s="6" t="s">
        <v>19</v>
      </c>
      <c r="F58" s="6" t="s">
        <v>223</v>
      </c>
    </row>
    <row r="59">
      <c r="A59" s="6">
        <v>447.0</v>
      </c>
      <c r="B59" s="6" t="s">
        <v>224</v>
      </c>
      <c r="C59" s="6" t="s">
        <v>16</v>
      </c>
      <c r="D59" s="6" t="s">
        <v>43</v>
      </c>
      <c r="E59" s="6" t="s">
        <v>99</v>
      </c>
      <c r="F59" s="6" t="s">
        <v>225</v>
      </c>
    </row>
    <row r="60">
      <c r="A60" s="6">
        <v>461.0</v>
      </c>
      <c r="B60" s="6" t="s">
        <v>226</v>
      </c>
      <c r="C60" s="6" t="s">
        <v>22</v>
      </c>
      <c r="D60" s="6" t="s">
        <v>23</v>
      </c>
      <c r="E60" s="6" t="s">
        <v>24</v>
      </c>
      <c r="F60" s="6" t="s">
        <v>227</v>
      </c>
    </row>
    <row r="61">
      <c r="A61" s="6">
        <v>466.0</v>
      </c>
      <c r="B61" s="6" t="s">
        <v>228</v>
      </c>
      <c r="C61" s="6" t="s">
        <v>74</v>
      </c>
      <c r="D61" s="6" t="s">
        <v>76</v>
      </c>
      <c r="E61" s="6" t="s">
        <v>77</v>
      </c>
      <c r="F61" s="6" t="s">
        <v>37</v>
      </c>
    </row>
    <row r="62">
      <c r="A62" s="6">
        <v>468.0</v>
      </c>
      <c r="B62" s="6" t="s">
        <v>229</v>
      </c>
      <c r="C62" s="6" t="s">
        <v>98</v>
      </c>
      <c r="D62" s="6" t="s">
        <v>113</v>
      </c>
      <c r="E62" s="6" t="s">
        <v>102</v>
      </c>
      <c r="F62" s="6" t="s">
        <v>230</v>
      </c>
    </row>
    <row r="63">
      <c r="A63" s="6">
        <v>479.0</v>
      </c>
      <c r="B63" s="6" t="s">
        <v>231</v>
      </c>
      <c r="C63" s="6" t="s">
        <v>22</v>
      </c>
      <c r="D63" s="6" t="s">
        <v>86</v>
      </c>
      <c r="E63" s="6" t="s">
        <v>87</v>
      </c>
      <c r="F63" s="6" t="s">
        <v>232</v>
      </c>
    </row>
    <row r="64">
      <c r="A64" s="6">
        <v>494.0</v>
      </c>
      <c r="B64" s="6" t="s">
        <v>233</v>
      </c>
      <c r="C64" s="6" t="s">
        <v>98</v>
      </c>
      <c r="D64" s="6" t="s">
        <v>113</v>
      </c>
      <c r="E64" s="6" t="s">
        <v>102</v>
      </c>
      <c r="F64" s="6" t="s">
        <v>37</v>
      </c>
    </row>
    <row r="65">
      <c r="A65" s="6">
        <v>503.0</v>
      </c>
      <c r="B65" s="6" t="s">
        <v>234</v>
      </c>
      <c r="C65" s="6" t="s">
        <v>22</v>
      </c>
      <c r="D65" s="6" t="s">
        <v>23</v>
      </c>
      <c r="E65" s="6" t="s">
        <v>24</v>
      </c>
      <c r="F65" s="6" t="s">
        <v>235</v>
      </c>
    </row>
    <row r="66">
      <c r="A66" s="6">
        <v>508.0</v>
      </c>
      <c r="B66" s="6" t="s">
        <v>236</v>
      </c>
      <c r="C66" s="6" t="s">
        <v>22</v>
      </c>
      <c r="D66" s="6" t="s">
        <v>23</v>
      </c>
      <c r="E66" s="6" t="s">
        <v>24</v>
      </c>
      <c r="F66" s="6" t="s">
        <v>237</v>
      </c>
    </row>
    <row r="67">
      <c r="A67" s="6">
        <v>509.0</v>
      </c>
      <c r="B67" s="6" t="s">
        <v>238</v>
      </c>
      <c r="C67" s="6" t="s">
        <v>22</v>
      </c>
      <c r="D67" s="6" t="s">
        <v>86</v>
      </c>
      <c r="E67" s="6" t="s">
        <v>87</v>
      </c>
      <c r="F67" s="6" t="s">
        <v>37</v>
      </c>
    </row>
    <row r="68">
      <c r="A68" s="6">
        <v>516.0</v>
      </c>
      <c r="B68" s="6" t="s">
        <v>239</v>
      </c>
      <c r="C68" s="6" t="s">
        <v>98</v>
      </c>
      <c r="D68" s="6" t="s">
        <v>113</v>
      </c>
      <c r="E68" s="6" t="s">
        <v>102</v>
      </c>
      <c r="F68" s="6" t="s">
        <v>240</v>
      </c>
    </row>
    <row r="69">
      <c r="A69" s="6">
        <v>518.0</v>
      </c>
      <c r="B69" s="6" t="s">
        <v>241</v>
      </c>
      <c r="C69" s="6" t="s">
        <v>22</v>
      </c>
      <c r="D69" s="6" t="s">
        <v>33</v>
      </c>
      <c r="E69" s="6" t="s">
        <v>24</v>
      </c>
      <c r="F69" s="6" t="s">
        <v>37</v>
      </c>
    </row>
    <row r="70">
      <c r="A70" s="6">
        <v>524.0</v>
      </c>
      <c r="B70" s="6" t="s">
        <v>242</v>
      </c>
      <c r="C70" s="6" t="s">
        <v>74</v>
      </c>
      <c r="D70" s="6" t="s">
        <v>76</v>
      </c>
      <c r="E70" s="6" t="s">
        <v>77</v>
      </c>
      <c r="F70" s="6" t="s">
        <v>243</v>
      </c>
    </row>
    <row r="71">
      <c r="A71" s="6">
        <v>526.0</v>
      </c>
      <c r="B71" s="6" t="s">
        <v>244</v>
      </c>
      <c r="C71" s="6" t="s">
        <v>22</v>
      </c>
      <c r="D71" s="6" t="s">
        <v>23</v>
      </c>
      <c r="E71" s="6" t="s">
        <v>24</v>
      </c>
      <c r="F71" s="6" t="s">
        <v>245</v>
      </c>
    </row>
    <row r="72">
      <c r="A72" s="6">
        <v>544.0</v>
      </c>
      <c r="B72" s="6" t="s">
        <v>246</v>
      </c>
      <c r="C72" s="6" t="s">
        <v>16</v>
      </c>
      <c r="D72" s="6" t="s">
        <v>43</v>
      </c>
      <c r="E72" s="6" t="s">
        <v>99</v>
      </c>
      <c r="F72" s="6" t="s">
        <v>247</v>
      </c>
    </row>
    <row r="73">
      <c r="A73" s="6">
        <v>548.0</v>
      </c>
      <c r="B73" s="6" t="s">
        <v>248</v>
      </c>
      <c r="C73" s="6" t="s">
        <v>16</v>
      </c>
      <c r="D73" s="6" t="s">
        <v>43</v>
      </c>
      <c r="E73" s="6" t="s">
        <v>99</v>
      </c>
      <c r="F73" s="6" t="s">
        <v>37</v>
      </c>
    </row>
    <row r="74">
      <c r="A74" s="6">
        <v>558.0</v>
      </c>
      <c r="B74" s="6" t="s">
        <v>249</v>
      </c>
      <c r="C74" s="6" t="s">
        <v>16</v>
      </c>
      <c r="D74" s="6" t="s">
        <v>18</v>
      </c>
      <c r="E74" s="6" t="s">
        <v>19</v>
      </c>
      <c r="F74" s="6" t="s">
        <v>250</v>
      </c>
    </row>
    <row r="75">
      <c r="A75" s="6">
        <v>559.0</v>
      </c>
      <c r="B75" s="6" t="s">
        <v>251</v>
      </c>
      <c r="C75" s="6" t="s">
        <v>16</v>
      </c>
      <c r="D75" s="6" t="s">
        <v>18</v>
      </c>
      <c r="E75" s="6" t="s">
        <v>19</v>
      </c>
      <c r="F75" s="6" t="s">
        <v>37</v>
      </c>
    </row>
    <row r="76">
      <c r="A76" s="6">
        <v>562.0</v>
      </c>
      <c r="B76" s="6" t="s">
        <v>252</v>
      </c>
      <c r="C76" s="6" t="s">
        <v>98</v>
      </c>
      <c r="D76" s="6" t="s">
        <v>113</v>
      </c>
      <c r="E76" s="6" t="s">
        <v>102</v>
      </c>
      <c r="F76" s="6" t="s">
        <v>37</v>
      </c>
    </row>
    <row r="77">
      <c r="A77" s="6">
        <v>423.0</v>
      </c>
      <c r="B77" s="6" t="s">
        <v>253</v>
      </c>
      <c r="C77" s="6" t="s">
        <v>22</v>
      </c>
      <c r="D77" s="6" t="s">
        <v>23</v>
      </c>
      <c r="E77" s="6" t="s">
        <v>24</v>
      </c>
      <c r="F77" s="6" t="s">
        <v>254</v>
      </c>
    </row>
    <row r="78">
      <c r="A78" s="6">
        <v>391.0</v>
      </c>
      <c r="B78" s="6" t="s">
        <v>255</v>
      </c>
      <c r="C78" s="6" t="s">
        <v>98</v>
      </c>
      <c r="D78" s="6" t="s">
        <v>113</v>
      </c>
      <c r="E78" s="6" t="s">
        <v>102</v>
      </c>
      <c r="F78" s="6" t="s">
        <v>37</v>
      </c>
    </row>
    <row r="79">
      <c r="A79" s="6">
        <v>152.0</v>
      </c>
      <c r="B79" s="6" t="s">
        <v>256</v>
      </c>
      <c r="C79" s="6" t="s">
        <v>22</v>
      </c>
      <c r="D79" s="6" t="s">
        <v>23</v>
      </c>
      <c r="E79" s="6" t="s">
        <v>24</v>
      </c>
    </row>
    <row r="80">
      <c r="A80" s="6">
        <v>465.0</v>
      </c>
      <c r="B80" s="6" t="s">
        <v>257</v>
      </c>
      <c r="C80" s="6" t="s">
        <v>22</v>
      </c>
      <c r="D80" s="6" t="s">
        <v>144</v>
      </c>
      <c r="E80" s="6" t="s">
        <v>145</v>
      </c>
    </row>
    <row r="81">
      <c r="A81" s="6">
        <v>362.0</v>
      </c>
      <c r="B81" s="6" t="s">
        <v>258</v>
      </c>
      <c r="C81" s="6" t="s">
        <v>22</v>
      </c>
      <c r="D81" s="6" t="s">
        <v>23</v>
      </c>
      <c r="E81" s="6" t="s">
        <v>24</v>
      </c>
      <c r="F81" s="6" t="s">
        <v>37</v>
      </c>
    </row>
    <row r="82">
      <c r="A82" s="6">
        <v>242.0</v>
      </c>
      <c r="B82" s="6" t="s">
        <v>259</v>
      </c>
      <c r="C82" s="6" t="s">
        <v>22</v>
      </c>
      <c r="D82" s="6" t="s">
        <v>93</v>
      </c>
      <c r="E82" s="6" t="s">
        <v>24</v>
      </c>
      <c r="F82" s="6" t="s">
        <v>37</v>
      </c>
    </row>
    <row r="83">
      <c r="A83" s="6">
        <v>450.0</v>
      </c>
      <c r="B83" s="6" t="s">
        <v>260</v>
      </c>
      <c r="C83" s="6" t="s">
        <v>74</v>
      </c>
      <c r="D83" s="6" t="s">
        <v>76</v>
      </c>
      <c r="E83" s="6" t="s">
        <v>77</v>
      </c>
      <c r="F83" s="6" t="s">
        <v>37</v>
      </c>
    </row>
    <row r="84">
      <c r="A84" s="6">
        <v>161.0</v>
      </c>
      <c r="B84" s="6" t="s">
        <v>261</v>
      </c>
      <c r="C84" s="6" t="s">
        <v>262</v>
      </c>
      <c r="D84" s="33" t="s">
        <v>262</v>
      </c>
      <c r="E84" s="6" t="s">
        <v>24</v>
      </c>
      <c r="F84" s="6" t="s">
        <v>37</v>
      </c>
      <c r="G84" s="6" t="s">
        <v>22</v>
      </c>
      <c r="H84" s="6" t="s">
        <v>23</v>
      </c>
      <c r="I84" s="6" t="s">
        <v>24</v>
      </c>
      <c r="J84" s="6" t="s">
        <v>254</v>
      </c>
    </row>
    <row r="85">
      <c r="A85" s="6">
        <v>354.0</v>
      </c>
      <c r="B85" s="6" t="s">
        <v>263</v>
      </c>
      <c r="C85" s="6" t="s">
        <v>22</v>
      </c>
      <c r="D85" s="33" t="s">
        <v>93</v>
      </c>
      <c r="E85" s="6" t="s">
        <v>24</v>
      </c>
      <c r="F85" s="6" t="s">
        <v>37</v>
      </c>
    </row>
    <row r="86">
      <c r="A86" s="6">
        <v>495.0</v>
      </c>
      <c r="B86" s="6" t="s">
        <v>265</v>
      </c>
      <c r="C86" s="6" t="s">
        <v>22</v>
      </c>
      <c r="D86" s="33" t="s">
        <v>144</v>
      </c>
      <c r="E86" s="6" t="s">
        <v>145</v>
      </c>
      <c r="F86" s="6" t="s">
        <v>37</v>
      </c>
    </row>
    <row r="87">
      <c r="A87" s="6">
        <v>458.0</v>
      </c>
      <c r="B87" s="6" t="s">
        <v>268</v>
      </c>
      <c r="C87" s="6" t="s">
        <v>16</v>
      </c>
      <c r="D87" s="6" t="s">
        <v>43</v>
      </c>
      <c r="E87" s="6" t="s">
        <v>99</v>
      </c>
      <c r="F87" s="6" t="s">
        <v>37</v>
      </c>
    </row>
    <row r="88">
      <c r="A88" s="6">
        <v>16.0</v>
      </c>
      <c r="B88" s="6" t="s">
        <v>270</v>
      </c>
      <c r="C88" s="6" t="s">
        <v>262</v>
      </c>
      <c r="D88" s="6" t="s">
        <v>43</v>
      </c>
      <c r="E88" s="6" t="s">
        <v>262</v>
      </c>
      <c r="F88" s="6" t="s">
        <v>37</v>
      </c>
    </row>
    <row r="89">
      <c r="A89" s="6">
        <v>463.0</v>
      </c>
      <c r="B89" s="6" t="s">
        <v>271</v>
      </c>
      <c r="C89" s="6" t="s">
        <v>22</v>
      </c>
      <c r="D89" s="6" t="s">
        <v>33</v>
      </c>
      <c r="E89" s="6" t="s">
        <v>24</v>
      </c>
      <c r="F89" s="6" t="s">
        <v>37</v>
      </c>
    </row>
    <row r="90">
      <c r="A90" s="6">
        <v>65.0</v>
      </c>
      <c r="B90" s="6" t="s">
        <v>272</v>
      </c>
      <c r="C90" s="6" t="s">
        <v>273</v>
      </c>
      <c r="D90" s="6" t="s">
        <v>43</v>
      </c>
      <c r="E90" s="6" t="s">
        <v>274</v>
      </c>
      <c r="F90" s="6" t="s">
        <v>275</v>
      </c>
    </row>
    <row r="91">
      <c r="A91" s="6">
        <v>63.0</v>
      </c>
      <c r="B91" s="6" t="s">
        <v>276</v>
      </c>
      <c r="C91" s="6" t="s">
        <v>28</v>
      </c>
      <c r="D91" s="6" t="s">
        <v>262</v>
      </c>
      <c r="E91" s="6" t="s">
        <v>277</v>
      </c>
      <c r="F91" s="6" t="s">
        <v>37</v>
      </c>
    </row>
    <row r="92">
      <c r="A92" s="6">
        <v>261.0</v>
      </c>
      <c r="B92" s="6" t="s">
        <v>278</v>
      </c>
      <c r="C92" s="6" t="s">
        <v>98</v>
      </c>
      <c r="D92" s="6" t="s">
        <v>113</v>
      </c>
      <c r="E92" s="6" t="s">
        <v>102</v>
      </c>
      <c r="F92" s="6" t="s">
        <v>279</v>
      </c>
    </row>
    <row r="93">
      <c r="A93" s="6">
        <v>335.0</v>
      </c>
      <c r="B93" s="6" t="s">
        <v>280</v>
      </c>
      <c r="C93" s="6" t="s">
        <v>74</v>
      </c>
      <c r="D93" s="6" t="s">
        <v>76</v>
      </c>
      <c r="E93" s="6" t="s">
        <v>77</v>
      </c>
      <c r="F93" s="6" t="s">
        <v>281</v>
      </c>
    </row>
    <row r="94">
      <c r="A94" s="6">
        <v>168.0</v>
      </c>
      <c r="B94" s="6" t="s">
        <v>282</v>
      </c>
      <c r="C94" s="6" t="s">
        <v>16</v>
      </c>
      <c r="D94" s="6" t="s">
        <v>18</v>
      </c>
      <c r="E94" s="6" t="s">
        <v>19</v>
      </c>
      <c r="F94" s="6" t="s">
        <v>37</v>
      </c>
    </row>
    <row r="95">
      <c r="A95" s="6">
        <v>568.0</v>
      </c>
      <c r="B95" s="6" t="s">
        <v>283</v>
      </c>
      <c r="C95" s="6" t="s">
        <v>22</v>
      </c>
      <c r="D95" s="6" t="s">
        <v>23</v>
      </c>
      <c r="E95" s="6" t="s">
        <v>24</v>
      </c>
      <c r="F95" s="6" t="s">
        <v>284</v>
      </c>
    </row>
    <row r="96">
      <c r="A96" s="6">
        <v>498.0</v>
      </c>
      <c r="B96" s="6" t="s">
        <v>285</v>
      </c>
      <c r="C96" s="6" t="s">
        <v>16</v>
      </c>
      <c r="D96" s="6" t="s">
        <v>18</v>
      </c>
      <c r="E96" s="6" t="s">
        <v>19</v>
      </c>
      <c r="F96" s="6" t="s">
        <v>286</v>
      </c>
    </row>
    <row r="97">
      <c r="A97" s="6">
        <v>67.0</v>
      </c>
      <c r="B97" s="6" t="s">
        <v>287</v>
      </c>
      <c r="C97" s="6" t="s">
        <v>22</v>
      </c>
      <c r="D97" s="6" t="s">
        <v>144</v>
      </c>
      <c r="E97" s="6" t="s">
        <v>145</v>
      </c>
      <c r="F97" s="6" t="s">
        <v>37</v>
      </c>
    </row>
    <row r="98">
      <c r="A98" s="6">
        <v>94.0</v>
      </c>
      <c r="B98" s="6" t="s">
        <v>288</v>
      </c>
      <c r="C98" s="6" t="s">
        <v>22</v>
      </c>
      <c r="D98" s="6" t="s">
        <v>33</v>
      </c>
      <c r="E98" s="6" t="s">
        <v>24</v>
      </c>
      <c r="F98" s="6" t="s">
        <v>289</v>
      </c>
    </row>
    <row r="99">
      <c r="A99" s="6">
        <v>291.0</v>
      </c>
      <c r="B99" s="6" t="s">
        <v>290</v>
      </c>
      <c r="C99" s="6" t="s">
        <v>74</v>
      </c>
      <c r="D99" s="6" t="s">
        <v>76</v>
      </c>
      <c r="E99" s="6" t="s">
        <v>77</v>
      </c>
      <c r="F99" s="6" t="s">
        <v>291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33.13"/>
    <col customWidth="1" min="3" max="3" width="37.25"/>
    <col customWidth="1" min="4" max="4" width="12.13"/>
    <col customWidth="1" min="5" max="5" width="13.63"/>
    <col customWidth="1" min="6" max="6" width="12.75"/>
    <col customWidth="1" min="7" max="7" width="17.0"/>
    <col customWidth="1" min="8" max="8" width="19.75"/>
    <col customWidth="1" min="9" max="9" width="15.88"/>
    <col customWidth="1" min="10" max="10" width="15.63"/>
    <col customWidth="1" min="11" max="11" width="17.0"/>
    <col customWidth="1" min="12" max="12" width="15.0"/>
  </cols>
  <sheetData>
    <row r="1">
      <c r="A1" s="4" t="s">
        <v>13</v>
      </c>
      <c r="B1" s="4" t="s">
        <v>14</v>
      </c>
      <c r="C1" s="7" t="s">
        <v>17</v>
      </c>
      <c r="D1" s="4" t="s">
        <v>27</v>
      </c>
      <c r="E1" s="4" t="s">
        <v>40</v>
      </c>
      <c r="F1" s="4" t="s">
        <v>42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49</v>
      </c>
      <c r="L1" s="4" t="s">
        <v>50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.5" customHeight="1">
      <c r="A2" s="6" t="s">
        <v>64</v>
      </c>
      <c r="B2" s="6" t="s">
        <v>66</v>
      </c>
      <c r="C2" s="9"/>
      <c r="D2" s="6"/>
      <c r="E2" s="6"/>
      <c r="F2" s="6"/>
      <c r="G2" s="6"/>
      <c r="H2" s="6"/>
      <c r="I2" s="6"/>
      <c r="J2" s="6"/>
      <c r="K2" s="6"/>
      <c r="L2" s="6"/>
    </row>
    <row r="3">
      <c r="A3" s="10" t="s">
        <v>81</v>
      </c>
      <c r="B3" s="10" t="s">
        <v>94</v>
      </c>
      <c r="C3" s="11" t="s">
        <v>95</v>
      </c>
      <c r="D3" s="10" t="s">
        <v>97</v>
      </c>
      <c r="E3" s="10" t="s">
        <v>98</v>
      </c>
      <c r="F3" s="10" t="s">
        <v>16</v>
      </c>
      <c r="G3" s="10" t="s">
        <v>76</v>
      </c>
      <c r="H3" s="10" t="s">
        <v>23</v>
      </c>
      <c r="I3" s="10" t="s">
        <v>100</v>
      </c>
      <c r="J3" s="10" t="s">
        <v>77</v>
      </c>
      <c r="K3" s="10" t="s">
        <v>101</v>
      </c>
      <c r="L3" s="10" t="s">
        <v>102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104</v>
      </c>
      <c r="B4" s="13" t="s">
        <v>106</v>
      </c>
      <c r="C4" s="14" t="s">
        <v>108</v>
      </c>
      <c r="D4" s="13" t="s">
        <v>16</v>
      </c>
      <c r="E4" s="13" t="s">
        <v>22</v>
      </c>
      <c r="F4" s="13" t="s">
        <v>98</v>
      </c>
      <c r="G4" s="13" t="s">
        <v>112</v>
      </c>
      <c r="H4" s="13" t="s">
        <v>23</v>
      </c>
      <c r="I4" s="13" t="s">
        <v>76</v>
      </c>
      <c r="J4" s="13" t="s">
        <v>115</v>
      </c>
      <c r="K4" s="13" t="s">
        <v>101</v>
      </c>
      <c r="L4" s="13" t="s">
        <v>117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">
        <v>124</v>
      </c>
      <c r="B5" s="16" t="s">
        <v>126</v>
      </c>
      <c r="C5" s="17" t="s">
        <v>127</v>
      </c>
      <c r="D5" s="16" t="s">
        <v>129</v>
      </c>
      <c r="E5" s="16" t="s">
        <v>22</v>
      </c>
      <c r="F5" s="16" t="s">
        <v>74</v>
      </c>
      <c r="G5" s="16" t="s">
        <v>113</v>
      </c>
      <c r="H5" s="16" t="s">
        <v>130</v>
      </c>
      <c r="I5" s="16" t="s">
        <v>18</v>
      </c>
      <c r="J5" s="16" t="s">
        <v>131</v>
      </c>
      <c r="K5" s="16" t="s">
        <v>24</v>
      </c>
      <c r="L5" s="16" t="s">
        <v>132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134</v>
      </c>
      <c r="B6" s="19" t="s">
        <v>136</v>
      </c>
      <c r="C6" s="20" t="s">
        <v>137</v>
      </c>
      <c r="D6" s="19" t="s">
        <v>22</v>
      </c>
      <c r="E6" s="19" t="s">
        <v>98</v>
      </c>
      <c r="F6" s="19" t="s">
        <v>74</v>
      </c>
      <c r="G6" s="19" t="s">
        <v>100</v>
      </c>
      <c r="H6" s="19" t="s">
        <v>138</v>
      </c>
      <c r="I6" s="19" t="s">
        <v>113</v>
      </c>
      <c r="J6" s="19" t="s">
        <v>24</v>
      </c>
      <c r="K6" s="19" t="s">
        <v>140</v>
      </c>
      <c r="L6" s="19" t="s">
        <v>117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142</v>
      </c>
      <c r="B7" s="22" t="s">
        <v>146</v>
      </c>
      <c r="C7" s="23" t="s">
        <v>147</v>
      </c>
      <c r="D7" s="22" t="s">
        <v>149</v>
      </c>
      <c r="E7" s="22" t="s">
        <v>16</v>
      </c>
      <c r="F7" s="22" t="s">
        <v>74</v>
      </c>
      <c r="G7" s="22" t="s">
        <v>151</v>
      </c>
      <c r="H7" s="22" t="s">
        <v>76</v>
      </c>
      <c r="I7" s="22" t="s">
        <v>18</v>
      </c>
      <c r="J7" s="22" t="s">
        <v>152</v>
      </c>
      <c r="K7" s="22" t="s">
        <v>154</v>
      </c>
      <c r="L7" s="22" t="s">
        <v>115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6" t="s">
        <v>158</v>
      </c>
      <c r="B8" s="26" t="s">
        <v>160</v>
      </c>
      <c r="C8" s="27" t="s">
        <v>161</v>
      </c>
      <c r="D8" s="27" t="s">
        <v>162</v>
      </c>
      <c r="E8" s="26" t="s">
        <v>28</v>
      </c>
      <c r="F8" s="26" t="s">
        <v>98</v>
      </c>
      <c r="G8" s="27" t="s">
        <v>163</v>
      </c>
      <c r="H8" s="27" t="s">
        <v>164</v>
      </c>
      <c r="I8" s="27" t="s">
        <v>165</v>
      </c>
      <c r="J8" s="27" t="s">
        <v>166</v>
      </c>
      <c r="K8" s="27" t="s">
        <v>167</v>
      </c>
      <c r="L8" s="27" t="s">
        <v>168</v>
      </c>
    </row>
    <row r="9">
      <c r="C9" s="28"/>
    </row>
    <row r="10">
      <c r="C10" s="28"/>
    </row>
    <row r="11">
      <c r="C11" s="28"/>
    </row>
    <row r="12">
      <c r="C12" s="28"/>
    </row>
    <row r="13">
      <c r="C13" s="28"/>
    </row>
    <row r="14">
      <c r="C14" s="28"/>
    </row>
    <row r="15">
      <c r="C15" s="28"/>
    </row>
    <row r="16">
      <c r="C16" s="28"/>
    </row>
    <row r="17">
      <c r="C17" s="28"/>
    </row>
    <row r="18">
      <c r="C18" s="28"/>
    </row>
    <row r="19">
      <c r="C19" s="28"/>
    </row>
    <row r="20">
      <c r="C20" s="28"/>
    </row>
    <row r="21">
      <c r="C21" s="28"/>
    </row>
    <row r="22">
      <c r="C22" s="28"/>
    </row>
    <row r="23">
      <c r="C23" s="28"/>
    </row>
    <row r="24">
      <c r="C24" s="28"/>
    </row>
    <row r="25">
      <c r="C25" s="28"/>
    </row>
    <row r="26">
      <c r="C26" s="28"/>
    </row>
    <row r="27">
      <c r="C27" s="28"/>
    </row>
    <row r="28">
      <c r="C28" s="28"/>
    </row>
    <row r="29">
      <c r="C29" s="28"/>
    </row>
    <row r="30">
      <c r="C30" s="28"/>
    </row>
    <row r="31">
      <c r="C31" s="28"/>
    </row>
    <row r="32">
      <c r="C32" s="28"/>
    </row>
    <row r="33">
      <c r="C33" s="28"/>
    </row>
    <row r="34">
      <c r="C34" s="28"/>
    </row>
    <row r="35">
      <c r="C35" s="28"/>
    </row>
    <row r="36">
      <c r="C36" s="28"/>
    </row>
    <row r="37">
      <c r="C37" s="28"/>
    </row>
    <row r="38">
      <c r="C38" s="28"/>
    </row>
    <row r="39">
      <c r="C39" s="28"/>
    </row>
    <row r="40">
      <c r="C40" s="28"/>
    </row>
    <row r="41">
      <c r="C41" s="28"/>
    </row>
    <row r="42">
      <c r="C42" s="28"/>
    </row>
    <row r="43">
      <c r="C43" s="28"/>
    </row>
    <row r="44">
      <c r="C44" s="28"/>
    </row>
    <row r="45">
      <c r="C45" s="28"/>
    </row>
    <row r="46">
      <c r="C46" s="28"/>
    </row>
    <row r="47">
      <c r="C47" s="28"/>
    </row>
    <row r="48">
      <c r="C48" s="28"/>
    </row>
    <row r="49">
      <c r="C49" s="28"/>
    </row>
    <row r="50">
      <c r="C50" s="28"/>
    </row>
    <row r="51">
      <c r="C51" s="28"/>
    </row>
    <row r="52">
      <c r="C52" s="28"/>
    </row>
    <row r="53">
      <c r="C53" s="28"/>
    </row>
    <row r="54">
      <c r="C54" s="28"/>
    </row>
    <row r="55">
      <c r="C55" s="28"/>
    </row>
    <row r="56">
      <c r="C56" s="28"/>
    </row>
    <row r="57">
      <c r="C57" s="28"/>
    </row>
    <row r="58">
      <c r="C58" s="28"/>
    </row>
    <row r="59">
      <c r="C59" s="28"/>
    </row>
    <row r="60">
      <c r="C60" s="28"/>
    </row>
    <row r="61">
      <c r="C61" s="28"/>
    </row>
    <row r="62">
      <c r="C62" s="28"/>
    </row>
    <row r="63">
      <c r="C63" s="28"/>
    </row>
    <row r="64">
      <c r="C64" s="28"/>
    </row>
    <row r="65">
      <c r="C65" s="28"/>
    </row>
    <row r="66">
      <c r="C66" s="28"/>
    </row>
    <row r="67">
      <c r="C67" s="28"/>
    </row>
    <row r="68">
      <c r="C68" s="28"/>
    </row>
    <row r="69">
      <c r="C69" s="28"/>
    </row>
    <row r="70">
      <c r="C70" s="28"/>
    </row>
    <row r="71">
      <c r="C71" s="28"/>
    </row>
    <row r="72">
      <c r="C72" s="28"/>
    </row>
    <row r="73">
      <c r="C73" s="28"/>
    </row>
    <row r="74">
      <c r="C74" s="28"/>
    </row>
    <row r="75">
      <c r="C75" s="28"/>
    </row>
    <row r="76">
      <c r="C76" s="28"/>
    </row>
    <row r="77">
      <c r="C77" s="28"/>
    </row>
    <row r="78">
      <c r="C78" s="28"/>
    </row>
    <row r="79">
      <c r="C79" s="28"/>
    </row>
    <row r="80">
      <c r="C80" s="28"/>
    </row>
    <row r="81">
      <c r="C81" s="28"/>
    </row>
    <row r="82">
      <c r="C82" s="28"/>
    </row>
    <row r="83">
      <c r="C83" s="28"/>
    </row>
    <row r="84">
      <c r="C84" s="28"/>
    </row>
    <row r="85">
      <c r="C85" s="28"/>
    </row>
    <row r="86">
      <c r="C86" s="28"/>
    </row>
    <row r="87">
      <c r="C87" s="28"/>
    </row>
    <row r="88">
      <c r="C88" s="28"/>
    </row>
    <row r="89">
      <c r="C89" s="28"/>
    </row>
    <row r="90">
      <c r="C90" s="28"/>
    </row>
    <row r="91">
      <c r="C91" s="28"/>
    </row>
    <row r="92">
      <c r="C92" s="28"/>
    </row>
    <row r="93">
      <c r="C93" s="28"/>
    </row>
    <row r="94">
      <c r="C94" s="28"/>
    </row>
    <row r="95">
      <c r="C95" s="28"/>
    </row>
    <row r="96">
      <c r="C96" s="28"/>
    </row>
    <row r="97">
      <c r="C97" s="28"/>
    </row>
    <row r="98">
      <c r="C98" s="28"/>
    </row>
    <row r="99">
      <c r="C99" s="28"/>
    </row>
    <row r="100">
      <c r="C100" s="28"/>
    </row>
    <row r="101">
      <c r="C101" s="28"/>
    </row>
    <row r="102">
      <c r="C102" s="28"/>
    </row>
    <row r="103">
      <c r="C103" s="28"/>
    </row>
    <row r="104">
      <c r="C104" s="28"/>
    </row>
    <row r="105">
      <c r="C105" s="28"/>
    </row>
    <row r="106">
      <c r="C106" s="28"/>
    </row>
    <row r="107">
      <c r="C107" s="28"/>
    </row>
    <row r="108">
      <c r="C108" s="28"/>
    </row>
    <row r="109">
      <c r="C109" s="28"/>
    </row>
    <row r="110">
      <c r="C110" s="28"/>
    </row>
    <row r="111">
      <c r="C111" s="28"/>
    </row>
    <row r="112">
      <c r="C112" s="28"/>
    </row>
    <row r="113">
      <c r="C113" s="28"/>
    </row>
    <row r="114">
      <c r="C114" s="28"/>
    </row>
    <row r="115">
      <c r="C115" s="28"/>
    </row>
    <row r="116">
      <c r="C116" s="28"/>
    </row>
    <row r="117">
      <c r="C117" s="28"/>
    </row>
    <row r="118">
      <c r="C118" s="28"/>
    </row>
    <row r="119">
      <c r="C119" s="28"/>
    </row>
    <row r="120">
      <c r="C120" s="28"/>
    </row>
    <row r="121">
      <c r="C121" s="28"/>
    </row>
    <row r="122">
      <c r="C122" s="28"/>
    </row>
    <row r="123">
      <c r="C123" s="28"/>
    </row>
    <row r="124">
      <c r="C124" s="28"/>
    </row>
    <row r="125">
      <c r="C125" s="28"/>
    </row>
    <row r="126">
      <c r="C126" s="28"/>
    </row>
    <row r="127">
      <c r="C127" s="28"/>
    </row>
    <row r="128">
      <c r="C128" s="28"/>
    </row>
    <row r="129">
      <c r="C129" s="28"/>
    </row>
    <row r="130">
      <c r="C130" s="28"/>
    </row>
    <row r="131">
      <c r="C131" s="28"/>
    </row>
    <row r="132">
      <c r="C132" s="28"/>
    </row>
    <row r="133">
      <c r="C133" s="28"/>
    </row>
    <row r="134">
      <c r="C134" s="28"/>
    </row>
    <row r="135">
      <c r="C135" s="28"/>
    </row>
    <row r="136">
      <c r="C136" s="28"/>
    </row>
    <row r="137">
      <c r="C137" s="28"/>
    </row>
    <row r="138">
      <c r="C138" s="28"/>
    </row>
    <row r="139">
      <c r="C139" s="28"/>
    </row>
    <row r="140">
      <c r="C140" s="28"/>
    </row>
    <row r="141">
      <c r="C141" s="28"/>
    </row>
    <row r="142">
      <c r="C142" s="28"/>
    </row>
    <row r="143">
      <c r="C143" s="28"/>
    </row>
    <row r="144">
      <c r="C144" s="28"/>
    </row>
    <row r="145">
      <c r="C145" s="28"/>
    </row>
    <row r="146">
      <c r="C146" s="28"/>
    </row>
    <row r="147">
      <c r="C147" s="28"/>
    </row>
    <row r="148">
      <c r="C148" s="28"/>
    </row>
    <row r="149">
      <c r="C149" s="28"/>
    </row>
    <row r="150">
      <c r="C150" s="28"/>
    </row>
    <row r="151">
      <c r="C151" s="28"/>
    </row>
    <row r="152">
      <c r="C152" s="28"/>
    </row>
    <row r="153">
      <c r="C153" s="28"/>
    </row>
    <row r="154">
      <c r="C154" s="28"/>
    </row>
    <row r="155">
      <c r="C155" s="28"/>
    </row>
    <row r="156">
      <c r="C156" s="28"/>
    </row>
    <row r="157">
      <c r="C157" s="28"/>
    </row>
    <row r="158">
      <c r="C158" s="28"/>
    </row>
    <row r="159">
      <c r="C159" s="28"/>
    </row>
    <row r="160">
      <c r="C160" s="28"/>
    </row>
    <row r="161">
      <c r="C161" s="28"/>
    </row>
    <row r="162">
      <c r="C162" s="28"/>
    </row>
    <row r="163">
      <c r="C163" s="28"/>
    </row>
    <row r="164">
      <c r="C164" s="28"/>
    </row>
    <row r="165">
      <c r="C165" s="28"/>
    </row>
    <row r="166">
      <c r="C166" s="28"/>
    </row>
    <row r="167">
      <c r="C167" s="28"/>
    </row>
    <row r="168">
      <c r="C168" s="28"/>
    </row>
    <row r="169">
      <c r="C169" s="28"/>
    </row>
    <row r="170">
      <c r="C170" s="28"/>
    </row>
    <row r="171">
      <c r="C171" s="28"/>
    </row>
    <row r="172">
      <c r="C172" s="28"/>
    </row>
    <row r="173">
      <c r="C173" s="28"/>
    </row>
    <row r="174">
      <c r="C174" s="28"/>
    </row>
    <row r="175">
      <c r="C175" s="28"/>
    </row>
    <row r="176">
      <c r="C176" s="28"/>
    </row>
    <row r="177">
      <c r="C177" s="28"/>
    </row>
    <row r="178">
      <c r="C178" s="28"/>
    </row>
    <row r="179">
      <c r="C179" s="28"/>
    </row>
    <row r="180">
      <c r="C180" s="28"/>
    </row>
    <row r="181">
      <c r="C181" s="28"/>
    </row>
    <row r="182">
      <c r="C182" s="28"/>
    </row>
    <row r="183">
      <c r="C183" s="28"/>
    </row>
    <row r="184">
      <c r="C184" s="28"/>
    </row>
    <row r="185">
      <c r="C185" s="28"/>
    </row>
    <row r="186">
      <c r="C186" s="28"/>
    </row>
    <row r="187">
      <c r="C187" s="28"/>
    </row>
    <row r="188">
      <c r="C188" s="28"/>
    </row>
    <row r="189">
      <c r="C189" s="28"/>
    </row>
    <row r="190">
      <c r="C190" s="28"/>
    </row>
    <row r="191">
      <c r="C191" s="28"/>
    </row>
    <row r="192">
      <c r="C192" s="28"/>
    </row>
    <row r="193">
      <c r="C193" s="28"/>
    </row>
    <row r="194">
      <c r="C194" s="28"/>
    </row>
    <row r="195">
      <c r="C195" s="28"/>
    </row>
    <row r="196">
      <c r="C196" s="28"/>
    </row>
    <row r="197">
      <c r="C197" s="28"/>
    </row>
    <row r="198">
      <c r="C198" s="28"/>
    </row>
    <row r="199">
      <c r="C199" s="28"/>
    </row>
    <row r="200">
      <c r="C200" s="28"/>
    </row>
    <row r="201">
      <c r="C201" s="28"/>
    </row>
    <row r="202">
      <c r="C202" s="28"/>
    </row>
    <row r="203">
      <c r="C203" s="28"/>
    </row>
    <row r="204">
      <c r="C204" s="28"/>
    </row>
    <row r="205">
      <c r="C205" s="28"/>
    </row>
    <row r="206">
      <c r="C206" s="28"/>
    </row>
    <row r="207">
      <c r="C207" s="28"/>
    </row>
    <row r="208">
      <c r="C208" s="28"/>
    </row>
    <row r="209">
      <c r="C209" s="28"/>
    </row>
    <row r="210">
      <c r="C210" s="28"/>
    </row>
    <row r="211">
      <c r="C211" s="28"/>
    </row>
    <row r="212">
      <c r="C212" s="28"/>
    </row>
    <row r="213">
      <c r="C213" s="28"/>
    </row>
    <row r="214">
      <c r="C214" s="28"/>
    </row>
    <row r="215">
      <c r="C215" s="28"/>
    </row>
    <row r="216">
      <c r="C216" s="28"/>
    </row>
    <row r="217">
      <c r="C217" s="28"/>
    </row>
    <row r="218">
      <c r="C218" s="28"/>
    </row>
    <row r="219">
      <c r="C219" s="28"/>
    </row>
    <row r="220">
      <c r="C220" s="28"/>
    </row>
    <row r="221">
      <c r="C221" s="28"/>
    </row>
    <row r="222">
      <c r="C222" s="28"/>
    </row>
    <row r="223">
      <c r="C223" s="28"/>
    </row>
    <row r="224">
      <c r="C224" s="28"/>
    </row>
    <row r="225">
      <c r="C225" s="28"/>
    </row>
    <row r="226">
      <c r="C226" s="28"/>
    </row>
    <row r="227">
      <c r="C227" s="28"/>
    </row>
    <row r="228">
      <c r="C228" s="28"/>
    </row>
    <row r="229">
      <c r="C229" s="28"/>
    </row>
    <row r="230">
      <c r="C230" s="28"/>
    </row>
    <row r="231">
      <c r="C231" s="28"/>
    </row>
    <row r="232">
      <c r="C232" s="28"/>
    </row>
    <row r="233">
      <c r="C233" s="28"/>
    </row>
    <row r="234">
      <c r="C234" s="28"/>
    </row>
    <row r="235">
      <c r="C235" s="28"/>
    </row>
    <row r="236">
      <c r="C236" s="28"/>
    </row>
    <row r="237">
      <c r="C237" s="28"/>
    </row>
    <row r="238">
      <c r="C238" s="28"/>
    </row>
    <row r="239">
      <c r="C239" s="28"/>
    </row>
    <row r="240">
      <c r="C240" s="28"/>
    </row>
    <row r="241">
      <c r="C241" s="28"/>
    </row>
    <row r="242">
      <c r="C242" s="28"/>
    </row>
    <row r="243">
      <c r="C243" s="28"/>
    </row>
    <row r="244">
      <c r="C244" s="28"/>
    </row>
    <row r="245">
      <c r="C245" s="28"/>
    </row>
    <row r="246">
      <c r="C246" s="28"/>
    </row>
    <row r="247">
      <c r="C247" s="28"/>
    </row>
    <row r="248">
      <c r="C248" s="28"/>
    </row>
    <row r="249">
      <c r="C249" s="28"/>
    </row>
    <row r="250">
      <c r="C250" s="28"/>
    </row>
    <row r="251">
      <c r="C251" s="28"/>
    </row>
    <row r="252">
      <c r="C252" s="28"/>
    </row>
    <row r="253">
      <c r="C253" s="28"/>
    </row>
    <row r="254">
      <c r="C254" s="28"/>
    </row>
    <row r="255">
      <c r="C255" s="28"/>
    </row>
    <row r="256">
      <c r="C256" s="28"/>
    </row>
    <row r="257">
      <c r="C257" s="28"/>
    </row>
    <row r="258">
      <c r="C258" s="28"/>
    </row>
    <row r="259">
      <c r="C259" s="28"/>
    </row>
    <row r="260">
      <c r="C260" s="28"/>
    </row>
    <row r="261">
      <c r="C261" s="28"/>
    </row>
    <row r="262">
      <c r="C262" s="28"/>
    </row>
    <row r="263">
      <c r="C263" s="28"/>
    </row>
    <row r="264">
      <c r="C264" s="28"/>
    </row>
    <row r="265">
      <c r="C265" s="28"/>
    </row>
    <row r="266">
      <c r="C266" s="28"/>
    </row>
    <row r="267">
      <c r="C267" s="28"/>
    </row>
    <row r="268">
      <c r="C268" s="28"/>
    </row>
    <row r="269">
      <c r="C269" s="28"/>
    </row>
    <row r="270">
      <c r="C270" s="28"/>
    </row>
    <row r="271">
      <c r="C271" s="28"/>
    </row>
    <row r="272">
      <c r="C272" s="28"/>
    </row>
    <row r="273">
      <c r="C273" s="28"/>
    </row>
    <row r="274">
      <c r="C274" s="28"/>
    </row>
    <row r="275">
      <c r="C275" s="28"/>
    </row>
    <row r="276">
      <c r="C276" s="28"/>
    </row>
    <row r="277">
      <c r="C277" s="28"/>
    </row>
    <row r="278">
      <c r="C278" s="28"/>
    </row>
    <row r="279">
      <c r="C279" s="28"/>
    </row>
    <row r="280">
      <c r="C280" s="28"/>
    </row>
    <row r="281">
      <c r="C281" s="28"/>
    </row>
    <row r="282">
      <c r="C282" s="28"/>
    </row>
    <row r="283">
      <c r="C283" s="28"/>
    </row>
    <row r="284">
      <c r="C284" s="28"/>
    </row>
    <row r="285">
      <c r="C285" s="28"/>
    </row>
    <row r="286">
      <c r="C286" s="28"/>
    </row>
    <row r="287">
      <c r="C287" s="28"/>
    </row>
    <row r="288">
      <c r="C288" s="28"/>
    </row>
    <row r="289">
      <c r="C289" s="28"/>
    </row>
    <row r="290">
      <c r="C290" s="28"/>
    </row>
    <row r="291">
      <c r="C291" s="28"/>
    </row>
    <row r="292">
      <c r="C292" s="28"/>
    </row>
    <row r="293">
      <c r="C293" s="28"/>
    </row>
    <row r="294">
      <c r="C294" s="28"/>
    </row>
    <row r="295">
      <c r="C295" s="28"/>
    </row>
    <row r="296">
      <c r="C296" s="28"/>
    </row>
    <row r="297">
      <c r="C297" s="28"/>
    </row>
    <row r="298">
      <c r="C298" s="28"/>
    </row>
    <row r="299">
      <c r="C299" s="28"/>
    </row>
    <row r="300">
      <c r="C300" s="28"/>
    </row>
    <row r="301">
      <c r="C301" s="28"/>
    </row>
    <row r="302">
      <c r="C302" s="28"/>
    </row>
    <row r="303">
      <c r="C303" s="28"/>
    </row>
    <row r="304">
      <c r="C304" s="28"/>
    </row>
    <row r="305">
      <c r="C305" s="28"/>
    </row>
    <row r="306">
      <c r="C306" s="28"/>
    </row>
    <row r="307">
      <c r="C307" s="28"/>
    </row>
    <row r="308">
      <c r="C308" s="28"/>
    </row>
    <row r="309">
      <c r="C309" s="28"/>
    </row>
    <row r="310">
      <c r="C310" s="28"/>
    </row>
    <row r="311">
      <c r="C311" s="28"/>
    </row>
    <row r="312">
      <c r="C312" s="28"/>
    </row>
    <row r="313">
      <c r="C313" s="28"/>
    </row>
    <row r="314">
      <c r="C314" s="28"/>
    </row>
    <row r="315">
      <c r="C315" s="28"/>
    </row>
    <row r="316">
      <c r="C316" s="28"/>
    </row>
    <row r="317">
      <c r="C317" s="28"/>
    </row>
    <row r="318">
      <c r="C318" s="28"/>
    </row>
    <row r="319">
      <c r="C319" s="28"/>
    </row>
    <row r="320">
      <c r="C320" s="28"/>
    </row>
    <row r="321">
      <c r="C321" s="28"/>
    </row>
    <row r="322">
      <c r="C322" s="28"/>
    </row>
    <row r="323">
      <c r="C323" s="28"/>
    </row>
    <row r="324">
      <c r="C324" s="28"/>
    </row>
    <row r="325">
      <c r="C325" s="28"/>
    </row>
    <row r="326">
      <c r="C326" s="28"/>
    </row>
    <row r="327">
      <c r="C327" s="28"/>
    </row>
    <row r="328">
      <c r="C328" s="28"/>
    </row>
    <row r="329">
      <c r="C329" s="28"/>
    </row>
    <row r="330">
      <c r="C330" s="28"/>
    </row>
    <row r="331">
      <c r="C331" s="28"/>
    </row>
    <row r="332">
      <c r="C332" s="28"/>
    </row>
    <row r="333">
      <c r="C333" s="28"/>
    </row>
    <row r="334">
      <c r="C334" s="28"/>
    </row>
    <row r="335">
      <c r="C335" s="28"/>
    </row>
    <row r="336">
      <c r="C336" s="28"/>
    </row>
    <row r="337">
      <c r="C337" s="28"/>
    </row>
    <row r="338">
      <c r="C338" s="28"/>
    </row>
    <row r="339">
      <c r="C339" s="28"/>
    </row>
    <row r="340">
      <c r="C340" s="28"/>
    </row>
    <row r="341">
      <c r="C341" s="28"/>
    </row>
    <row r="342">
      <c r="C342" s="28"/>
    </row>
    <row r="343">
      <c r="C343" s="28"/>
    </row>
    <row r="344">
      <c r="C344" s="28"/>
    </row>
    <row r="345">
      <c r="C345" s="28"/>
    </row>
    <row r="346">
      <c r="C346" s="28"/>
    </row>
    <row r="347">
      <c r="C347" s="28"/>
    </row>
    <row r="348">
      <c r="C348" s="28"/>
    </row>
    <row r="349">
      <c r="C349" s="28"/>
    </row>
    <row r="350">
      <c r="C350" s="28"/>
    </row>
    <row r="351">
      <c r="C351" s="28"/>
    </row>
    <row r="352">
      <c r="C352" s="28"/>
    </row>
    <row r="353">
      <c r="C353" s="28"/>
    </row>
    <row r="354">
      <c r="C354" s="28"/>
    </row>
    <row r="355">
      <c r="C355" s="28"/>
    </row>
    <row r="356">
      <c r="C356" s="28"/>
    </row>
    <row r="357">
      <c r="C357" s="28"/>
    </row>
    <row r="358">
      <c r="C358" s="28"/>
    </row>
    <row r="359">
      <c r="C359" s="28"/>
    </row>
    <row r="360">
      <c r="C360" s="28"/>
    </row>
    <row r="361">
      <c r="C361" s="28"/>
    </row>
    <row r="362">
      <c r="C362" s="28"/>
    </row>
    <row r="363">
      <c r="C363" s="28"/>
    </row>
    <row r="364">
      <c r="C364" s="28"/>
    </row>
    <row r="365">
      <c r="C365" s="28"/>
    </row>
    <row r="366">
      <c r="C366" s="28"/>
    </row>
    <row r="367">
      <c r="C367" s="28"/>
    </row>
    <row r="368">
      <c r="C368" s="28"/>
    </row>
    <row r="369">
      <c r="C369" s="28"/>
    </row>
    <row r="370">
      <c r="C370" s="28"/>
    </row>
    <row r="371">
      <c r="C371" s="28"/>
    </row>
    <row r="372">
      <c r="C372" s="28"/>
    </row>
    <row r="373">
      <c r="C373" s="28"/>
    </row>
    <row r="374">
      <c r="C374" s="28"/>
    </row>
    <row r="375">
      <c r="C375" s="28"/>
    </row>
    <row r="376">
      <c r="C376" s="28"/>
    </row>
    <row r="377">
      <c r="C377" s="28"/>
    </row>
    <row r="378">
      <c r="C378" s="28"/>
    </row>
    <row r="379">
      <c r="C379" s="28"/>
    </row>
    <row r="380">
      <c r="C380" s="28"/>
    </row>
    <row r="381">
      <c r="C381" s="28"/>
    </row>
    <row r="382">
      <c r="C382" s="28"/>
    </row>
    <row r="383">
      <c r="C383" s="28"/>
    </row>
    <row r="384">
      <c r="C384" s="28"/>
    </row>
    <row r="385">
      <c r="C385" s="28"/>
    </row>
    <row r="386">
      <c r="C386" s="28"/>
    </row>
    <row r="387">
      <c r="C387" s="28"/>
    </row>
    <row r="388">
      <c r="C388" s="28"/>
    </row>
    <row r="389">
      <c r="C389" s="28"/>
    </row>
    <row r="390">
      <c r="C390" s="28"/>
    </row>
    <row r="391">
      <c r="C391" s="28"/>
    </row>
    <row r="392">
      <c r="C392" s="28"/>
    </row>
    <row r="393">
      <c r="C393" s="28"/>
    </row>
    <row r="394">
      <c r="C394" s="28"/>
    </row>
    <row r="395">
      <c r="C395" s="28"/>
    </row>
    <row r="396">
      <c r="C396" s="28"/>
    </row>
    <row r="397">
      <c r="C397" s="28"/>
    </row>
    <row r="398">
      <c r="C398" s="28"/>
    </row>
    <row r="399">
      <c r="C399" s="28"/>
    </row>
    <row r="400">
      <c r="C400" s="28"/>
    </row>
    <row r="401">
      <c r="C401" s="28"/>
    </row>
    <row r="402">
      <c r="C402" s="28"/>
    </row>
    <row r="403">
      <c r="C403" s="28"/>
    </row>
    <row r="404">
      <c r="C404" s="28"/>
    </row>
    <row r="405">
      <c r="C405" s="28"/>
    </row>
    <row r="406">
      <c r="C406" s="28"/>
    </row>
    <row r="407">
      <c r="C407" s="28"/>
    </row>
    <row r="408">
      <c r="C408" s="28"/>
    </row>
    <row r="409">
      <c r="C409" s="28"/>
    </row>
    <row r="410">
      <c r="C410" s="28"/>
    </row>
    <row r="411">
      <c r="C411" s="28"/>
    </row>
    <row r="412">
      <c r="C412" s="28"/>
    </row>
    <row r="413">
      <c r="C413" s="28"/>
    </row>
    <row r="414">
      <c r="C414" s="28"/>
    </row>
    <row r="415">
      <c r="C415" s="28"/>
    </row>
    <row r="416">
      <c r="C416" s="28"/>
    </row>
    <row r="417">
      <c r="C417" s="28"/>
    </row>
    <row r="418">
      <c r="C418" s="28"/>
    </row>
    <row r="419">
      <c r="C419" s="28"/>
    </row>
    <row r="420">
      <c r="C420" s="28"/>
    </row>
    <row r="421">
      <c r="C421" s="28"/>
    </row>
    <row r="422">
      <c r="C422" s="28"/>
    </row>
    <row r="423">
      <c r="C423" s="28"/>
    </row>
    <row r="424">
      <c r="C424" s="28"/>
    </row>
    <row r="425">
      <c r="C425" s="28"/>
    </row>
    <row r="426">
      <c r="C426" s="28"/>
    </row>
    <row r="427">
      <c r="C427" s="28"/>
    </row>
    <row r="428">
      <c r="C428" s="28"/>
    </row>
    <row r="429">
      <c r="C429" s="28"/>
    </row>
    <row r="430">
      <c r="C430" s="28"/>
    </row>
    <row r="431">
      <c r="C431" s="28"/>
    </row>
    <row r="432">
      <c r="C432" s="28"/>
    </row>
    <row r="433">
      <c r="C433" s="28"/>
    </row>
    <row r="434">
      <c r="C434" s="28"/>
    </row>
    <row r="435">
      <c r="C435" s="28"/>
    </row>
    <row r="436">
      <c r="C436" s="28"/>
    </row>
    <row r="437">
      <c r="C437" s="28"/>
    </row>
    <row r="438">
      <c r="C438" s="28"/>
    </row>
    <row r="439">
      <c r="C439" s="28"/>
    </row>
    <row r="440">
      <c r="C440" s="28"/>
    </row>
    <row r="441">
      <c r="C441" s="28"/>
    </row>
    <row r="442">
      <c r="C442" s="28"/>
    </row>
    <row r="443">
      <c r="C443" s="28"/>
    </row>
    <row r="444">
      <c r="C444" s="28"/>
    </row>
    <row r="445">
      <c r="C445" s="28"/>
    </row>
    <row r="446">
      <c r="C446" s="28"/>
    </row>
    <row r="447">
      <c r="C447" s="28"/>
    </row>
    <row r="448">
      <c r="C448" s="28"/>
    </row>
    <row r="449">
      <c r="C449" s="28"/>
    </row>
    <row r="450">
      <c r="C450" s="28"/>
    </row>
    <row r="451">
      <c r="C451" s="28"/>
    </row>
    <row r="452">
      <c r="C452" s="28"/>
    </row>
    <row r="453">
      <c r="C453" s="28"/>
    </row>
    <row r="454">
      <c r="C454" s="28"/>
    </row>
    <row r="455">
      <c r="C455" s="28"/>
    </row>
    <row r="456">
      <c r="C456" s="28"/>
    </row>
    <row r="457">
      <c r="C457" s="28"/>
    </row>
    <row r="458">
      <c r="C458" s="28"/>
    </row>
    <row r="459">
      <c r="C459" s="28"/>
    </row>
    <row r="460">
      <c r="C460" s="28"/>
    </row>
    <row r="461">
      <c r="C461" s="28"/>
    </row>
    <row r="462">
      <c r="C462" s="28"/>
    </row>
    <row r="463">
      <c r="C463" s="28"/>
    </row>
    <row r="464">
      <c r="C464" s="28"/>
    </row>
    <row r="465">
      <c r="C465" s="28"/>
    </row>
    <row r="466">
      <c r="C466" s="28"/>
    </row>
    <row r="467">
      <c r="C467" s="28"/>
    </row>
    <row r="468">
      <c r="C468" s="28"/>
    </row>
    <row r="469">
      <c r="C469" s="28"/>
    </row>
    <row r="470">
      <c r="C470" s="28"/>
    </row>
    <row r="471">
      <c r="C471" s="28"/>
    </row>
    <row r="472">
      <c r="C472" s="28"/>
    </row>
    <row r="473">
      <c r="C473" s="28"/>
    </row>
    <row r="474">
      <c r="C474" s="28"/>
    </row>
    <row r="475">
      <c r="C475" s="28"/>
    </row>
    <row r="476">
      <c r="C476" s="28"/>
    </row>
    <row r="477">
      <c r="C477" s="28"/>
    </row>
    <row r="478">
      <c r="C478" s="28"/>
    </row>
    <row r="479">
      <c r="C479" s="28"/>
    </row>
    <row r="480">
      <c r="C480" s="28"/>
    </row>
    <row r="481">
      <c r="C481" s="28"/>
    </row>
    <row r="482">
      <c r="C482" s="28"/>
    </row>
    <row r="483">
      <c r="C483" s="28"/>
    </row>
    <row r="484">
      <c r="C484" s="28"/>
    </row>
    <row r="485">
      <c r="C485" s="28"/>
    </row>
    <row r="486">
      <c r="C486" s="28"/>
    </row>
    <row r="487">
      <c r="C487" s="28"/>
    </row>
    <row r="488">
      <c r="C488" s="28"/>
    </row>
    <row r="489">
      <c r="C489" s="28"/>
    </row>
    <row r="490">
      <c r="C490" s="28"/>
    </row>
    <row r="491">
      <c r="C491" s="28"/>
    </row>
    <row r="492">
      <c r="C492" s="28"/>
    </row>
    <row r="493">
      <c r="C493" s="28"/>
    </row>
    <row r="494">
      <c r="C494" s="28"/>
    </row>
    <row r="495">
      <c r="C495" s="28"/>
    </row>
    <row r="496">
      <c r="C496" s="28"/>
    </row>
    <row r="497">
      <c r="C497" s="28"/>
    </row>
    <row r="498">
      <c r="C498" s="28"/>
    </row>
    <row r="499">
      <c r="C499" s="28"/>
    </row>
    <row r="500">
      <c r="C500" s="28"/>
    </row>
    <row r="501">
      <c r="C501" s="28"/>
    </row>
    <row r="502">
      <c r="C502" s="28"/>
    </row>
    <row r="503">
      <c r="C503" s="28"/>
    </row>
    <row r="504">
      <c r="C504" s="28"/>
    </row>
    <row r="505">
      <c r="C505" s="28"/>
    </row>
    <row r="506">
      <c r="C506" s="28"/>
    </row>
    <row r="507">
      <c r="C507" s="28"/>
    </row>
    <row r="508">
      <c r="C508" s="28"/>
    </row>
    <row r="509">
      <c r="C509" s="28"/>
    </row>
    <row r="510">
      <c r="C510" s="28"/>
    </row>
    <row r="511">
      <c r="C511" s="28"/>
    </row>
    <row r="512">
      <c r="C512" s="28"/>
    </row>
    <row r="513">
      <c r="C513" s="28"/>
    </row>
    <row r="514">
      <c r="C514" s="28"/>
    </row>
    <row r="515">
      <c r="C515" s="28"/>
    </row>
    <row r="516">
      <c r="C516" s="28"/>
    </row>
    <row r="517">
      <c r="C517" s="28"/>
    </row>
    <row r="518">
      <c r="C518" s="28"/>
    </row>
    <row r="519">
      <c r="C519" s="28"/>
    </row>
    <row r="520">
      <c r="C520" s="28"/>
    </row>
    <row r="521">
      <c r="C521" s="28"/>
    </row>
    <row r="522">
      <c r="C522" s="28"/>
    </row>
    <row r="523">
      <c r="C523" s="28"/>
    </row>
    <row r="524">
      <c r="C524" s="28"/>
    </row>
    <row r="525">
      <c r="C525" s="28"/>
    </row>
    <row r="526">
      <c r="C526" s="28"/>
    </row>
    <row r="527">
      <c r="C527" s="28"/>
    </row>
    <row r="528">
      <c r="C528" s="28"/>
    </row>
    <row r="529">
      <c r="C529" s="28"/>
    </row>
    <row r="530">
      <c r="C530" s="28"/>
    </row>
    <row r="531">
      <c r="C531" s="28"/>
    </row>
    <row r="532">
      <c r="C532" s="28"/>
    </row>
    <row r="533">
      <c r="C533" s="28"/>
    </row>
    <row r="534">
      <c r="C534" s="28"/>
    </row>
    <row r="535">
      <c r="C535" s="28"/>
    </row>
    <row r="536">
      <c r="C536" s="28"/>
    </row>
    <row r="537">
      <c r="C537" s="28"/>
    </row>
    <row r="538">
      <c r="C538" s="28"/>
    </row>
    <row r="539">
      <c r="C539" s="28"/>
    </row>
    <row r="540">
      <c r="C540" s="28"/>
    </row>
    <row r="541">
      <c r="C541" s="28"/>
    </row>
    <row r="542">
      <c r="C542" s="28"/>
    </row>
    <row r="543">
      <c r="C543" s="28"/>
    </row>
    <row r="544">
      <c r="C544" s="28"/>
    </row>
    <row r="545">
      <c r="C545" s="28"/>
    </row>
    <row r="546">
      <c r="C546" s="28"/>
    </row>
    <row r="547">
      <c r="C547" s="28"/>
    </row>
    <row r="548">
      <c r="C548" s="28"/>
    </row>
    <row r="549">
      <c r="C549" s="28"/>
    </row>
    <row r="550">
      <c r="C550" s="28"/>
    </row>
    <row r="551">
      <c r="C551" s="28"/>
    </row>
    <row r="552">
      <c r="C552" s="28"/>
    </row>
    <row r="553">
      <c r="C553" s="28"/>
    </row>
    <row r="554">
      <c r="C554" s="28"/>
    </row>
    <row r="555">
      <c r="C555" s="28"/>
    </row>
    <row r="556">
      <c r="C556" s="28"/>
    </row>
    <row r="557">
      <c r="C557" s="28"/>
    </row>
    <row r="558">
      <c r="C558" s="28"/>
    </row>
    <row r="559">
      <c r="C559" s="28"/>
    </row>
    <row r="560">
      <c r="C560" s="28"/>
    </row>
    <row r="561">
      <c r="C561" s="28"/>
    </row>
    <row r="562">
      <c r="C562" s="28"/>
    </row>
    <row r="563">
      <c r="C563" s="28"/>
    </row>
    <row r="564">
      <c r="C564" s="28"/>
    </row>
    <row r="565">
      <c r="C565" s="28"/>
    </row>
    <row r="566">
      <c r="C566" s="28"/>
    </row>
    <row r="567">
      <c r="C567" s="28"/>
    </row>
    <row r="568">
      <c r="C568" s="28"/>
    </row>
    <row r="569">
      <c r="C569" s="28"/>
    </row>
    <row r="570">
      <c r="C570" s="28"/>
    </row>
    <row r="571">
      <c r="C571" s="28"/>
    </row>
    <row r="572">
      <c r="C572" s="28"/>
    </row>
    <row r="573">
      <c r="C573" s="28"/>
    </row>
    <row r="574">
      <c r="C574" s="28"/>
    </row>
    <row r="575">
      <c r="C575" s="28"/>
    </row>
    <row r="576">
      <c r="C576" s="28"/>
    </row>
    <row r="577">
      <c r="C577" s="28"/>
    </row>
    <row r="578">
      <c r="C578" s="28"/>
    </row>
    <row r="579">
      <c r="C579" s="28"/>
    </row>
    <row r="580">
      <c r="C580" s="28"/>
    </row>
    <row r="581">
      <c r="C581" s="28"/>
    </row>
    <row r="582">
      <c r="C582" s="28"/>
    </row>
    <row r="583">
      <c r="C583" s="28"/>
    </row>
    <row r="584">
      <c r="C584" s="28"/>
    </row>
    <row r="585">
      <c r="C585" s="28"/>
    </row>
    <row r="586">
      <c r="C586" s="28"/>
    </row>
    <row r="587">
      <c r="C587" s="28"/>
    </row>
    <row r="588">
      <c r="C588" s="28"/>
    </row>
    <row r="589">
      <c r="C589" s="28"/>
    </row>
    <row r="590">
      <c r="C590" s="28"/>
    </row>
    <row r="591">
      <c r="C591" s="28"/>
    </row>
    <row r="592">
      <c r="C592" s="28"/>
    </row>
    <row r="593">
      <c r="C593" s="28"/>
    </row>
    <row r="594">
      <c r="C594" s="28"/>
    </row>
    <row r="595">
      <c r="C595" s="28"/>
    </row>
    <row r="596">
      <c r="C596" s="28"/>
    </row>
    <row r="597">
      <c r="C597" s="28"/>
    </row>
    <row r="598">
      <c r="C598" s="28"/>
    </row>
    <row r="599">
      <c r="C599" s="28"/>
    </row>
    <row r="600">
      <c r="C600" s="28"/>
    </row>
    <row r="601">
      <c r="C601" s="28"/>
    </row>
    <row r="602">
      <c r="C602" s="28"/>
    </row>
    <row r="603">
      <c r="C603" s="28"/>
    </row>
    <row r="604">
      <c r="C604" s="28"/>
    </row>
    <row r="605">
      <c r="C605" s="28"/>
    </row>
    <row r="606">
      <c r="C606" s="28"/>
    </row>
    <row r="607">
      <c r="C607" s="28"/>
    </row>
    <row r="608">
      <c r="C608" s="28"/>
    </row>
    <row r="609">
      <c r="C609" s="28"/>
    </row>
    <row r="610">
      <c r="C610" s="28"/>
    </row>
    <row r="611">
      <c r="C611" s="28"/>
    </row>
    <row r="612">
      <c r="C612" s="28"/>
    </row>
    <row r="613">
      <c r="C613" s="28"/>
    </row>
    <row r="614">
      <c r="C614" s="28"/>
    </row>
    <row r="615">
      <c r="C615" s="28"/>
    </row>
    <row r="616">
      <c r="C616" s="28"/>
    </row>
    <row r="617">
      <c r="C617" s="28"/>
    </row>
    <row r="618">
      <c r="C618" s="28"/>
    </row>
    <row r="619">
      <c r="C619" s="28"/>
    </row>
    <row r="620">
      <c r="C620" s="28"/>
    </row>
    <row r="621">
      <c r="C621" s="28"/>
    </row>
    <row r="622">
      <c r="C622" s="28"/>
    </row>
    <row r="623">
      <c r="C623" s="28"/>
    </row>
    <row r="624">
      <c r="C624" s="28"/>
    </row>
    <row r="625">
      <c r="C625" s="28"/>
    </row>
    <row r="626">
      <c r="C626" s="28"/>
    </row>
    <row r="627">
      <c r="C627" s="28"/>
    </row>
    <row r="628">
      <c r="C628" s="28"/>
    </row>
    <row r="629">
      <c r="C629" s="28"/>
    </row>
    <row r="630">
      <c r="C630" s="28"/>
    </row>
    <row r="631">
      <c r="C631" s="28"/>
    </row>
    <row r="632">
      <c r="C632" s="28"/>
    </row>
    <row r="633">
      <c r="C633" s="28"/>
    </row>
    <row r="634">
      <c r="C634" s="28"/>
    </row>
    <row r="635">
      <c r="C635" s="28"/>
    </row>
    <row r="636">
      <c r="C636" s="28"/>
    </row>
    <row r="637">
      <c r="C637" s="28"/>
    </row>
    <row r="638">
      <c r="C638" s="28"/>
    </row>
    <row r="639">
      <c r="C639" s="28"/>
    </row>
    <row r="640">
      <c r="C640" s="28"/>
    </row>
    <row r="641">
      <c r="C641" s="28"/>
    </row>
    <row r="642">
      <c r="C642" s="28"/>
    </row>
    <row r="643">
      <c r="C643" s="28"/>
    </row>
    <row r="644">
      <c r="C644" s="28"/>
    </row>
    <row r="645">
      <c r="C645" s="28"/>
    </row>
    <row r="646">
      <c r="C646" s="28"/>
    </row>
    <row r="647">
      <c r="C647" s="28"/>
    </row>
    <row r="648">
      <c r="C648" s="28"/>
    </row>
    <row r="649">
      <c r="C649" s="28"/>
    </row>
    <row r="650">
      <c r="C650" s="28"/>
    </row>
    <row r="651">
      <c r="C651" s="28"/>
    </row>
    <row r="652">
      <c r="C652" s="28"/>
    </row>
    <row r="653">
      <c r="C653" s="28"/>
    </row>
    <row r="654">
      <c r="C654" s="28"/>
    </row>
    <row r="655">
      <c r="C655" s="28"/>
    </row>
    <row r="656">
      <c r="C656" s="28"/>
    </row>
    <row r="657">
      <c r="C657" s="28"/>
    </row>
    <row r="658">
      <c r="C658" s="28"/>
    </row>
    <row r="659">
      <c r="C659" s="28"/>
    </row>
    <row r="660">
      <c r="C660" s="28"/>
    </row>
    <row r="661">
      <c r="C661" s="28"/>
    </row>
    <row r="662">
      <c r="C662" s="28"/>
    </row>
    <row r="663">
      <c r="C663" s="28"/>
    </row>
    <row r="664">
      <c r="C664" s="28"/>
    </row>
    <row r="665">
      <c r="C665" s="28"/>
    </row>
    <row r="666">
      <c r="C666" s="28"/>
    </row>
    <row r="667">
      <c r="C667" s="28"/>
    </row>
    <row r="668">
      <c r="C668" s="28"/>
    </row>
    <row r="669">
      <c r="C669" s="28"/>
    </row>
    <row r="670">
      <c r="C670" s="28"/>
    </row>
    <row r="671">
      <c r="C671" s="28"/>
    </row>
    <row r="672">
      <c r="C672" s="28"/>
    </row>
    <row r="673">
      <c r="C673" s="28"/>
    </row>
    <row r="674">
      <c r="C674" s="28"/>
    </row>
    <row r="675">
      <c r="C675" s="28"/>
    </row>
    <row r="676">
      <c r="C676" s="28"/>
    </row>
    <row r="677">
      <c r="C677" s="28"/>
    </row>
    <row r="678">
      <c r="C678" s="28"/>
    </row>
    <row r="679">
      <c r="C679" s="28"/>
    </row>
    <row r="680">
      <c r="C680" s="28"/>
    </row>
    <row r="681">
      <c r="C681" s="28"/>
    </row>
    <row r="682">
      <c r="C682" s="28"/>
    </row>
    <row r="683">
      <c r="C683" s="28"/>
    </row>
    <row r="684">
      <c r="C684" s="28"/>
    </row>
    <row r="685">
      <c r="C685" s="28"/>
    </row>
    <row r="686">
      <c r="C686" s="28"/>
    </row>
    <row r="687">
      <c r="C687" s="28"/>
    </row>
    <row r="688">
      <c r="C688" s="28"/>
    </row>
    <row r="689">
      <c r="C689" s="28"/>
    </row>
    <row r="690">
      <c r="C690" s="28"/>
    </row>
    <row r="691">
      <c r="C691" s="28"/>
    </row>
    <row r="692">
      <c r="C692" s="28"/>
    </row>
    <row r="693">
      <c r="C693" s="28"/>
    </row>
    <row r="694">
      <c r="C694" s="28"/>
    </row>
    <row r="695">
      <c r="C695" s="28"/>
    </row>
    <row r="696">
      <c r="C696" s="28"/>
    </row>
    <row r="697">
      <c r="C697" s="28"/>
    </row>
    <row r="698">
      <c r="C698" s="28"/>
    </row>
    <row r="699">
      <c r="C699" s="28"/>
    </row>
    <row r="700">
      <c r="C700" s="28"/>
    </row>
    <row r="701">
      <c r="C701" s="28"/>
    </row>
    <row r="702">
      <c r="C702" s="28"/>
    </row>
    <row r="703">
      <c r="C703" s="28"/>
    </row>
    <row r="704">
      <c r="C704" s="28"/>
    </row>
    <row r="705">
      <c r="C705" s="28"/>
    </row>
    <row r="706">
      <c r="C706" s="28"/>
    </row>
    <row r="707">
      <c r="C707" s="28"/>
    </row>
    <row r="708">
      <c r="C708" s="28"/>
    </row>
    <row r="709">
      <c r="C709" s="28"/>
    </row>
    <row r="710">
      <c r="C710" s="28"/>
    </row>
    <row r="711">
      <c r="C711" s="28"/>
    </row>
    <row r="712">
      <c r="C712" s="28"/>
    </row>
    <row r="713">
      <c r="C713" s="28"/>
    </row>
    <row r="714">
      <c r="C714" s="28"/>
    </row>
    <row r="715">
      <c r="C715" s="28"/>
    </row>
    <row r="716">
      <c r="C716" s="28"/>
    </row>
    <row r="717">
      <c r="C717" s="28"/>
    </row>
    <row r="718">
      <c r="C718" s="28"/>
    </row>
    <row r="719">
      <c r="C719" s="28"/>
    </row>
    <row r="720">
      <c r="C720" s="28"/>
    </row>
    <row r="721">
      <c r="C721" s="28"/>
    </row>
    <row r="722">
      <c r="C722" s="28"/>
    </row>
    <row r="723">
      <c r="C723" s="28"/>
    </row>
    <row r="724">
      <c r="C724" s="28"/>
    </row>
    <row r="725">
      <c r="C725" s="28"/>
    </row>
    <row r="726">
      <c r="C726" s="28"/>
    </row>
    <row r="727">
      <c r="C727" s="28"/>
    </row>
    <row r="728">
      <c r="C728" s="28"/>
    </row>
    <row r="729">
      <c r="C729" s="28"/>
    </row>
    <row r="730">
      <c r="C730" s="28"/>
    </row>
    <row r="731">
      <c r="C731" s="28"/>
    </row>
    <row r="732">
      <c r="C732" s="28"/>
    </row>
    <row r="733">
      <c r="C733" s="28"/>
    </row>
    <row r="734">
      <c r="C734" s="28"/>
    </row>
    <row r="735">
      <c r="C735" s="28"/>
    </row>
    <row r="736">
      <c r="C736" s="28"/>
    </row>
    <row r="737">
      <c r="C737" s="28"/>
    </row>
    <row r="738">
      <c r="C738" s="28"/>
    </row>
    <row r="739">
      <c r="C739" s="28"/>
    </row>
    <row r="740">
      <c r="C740" s="28"/>
    </row>
    <row r="741">
      <c r="C741" s="28"/>
    </row>
    <row r="742">
      <c r="C742" s="28"/>
    </row>
    <row r="743">
      <c r="C743" s="28"/>
    </row>
    <row r="744">
      <c r="C744" s="28"/>
    </row>
    <row r="745">
      <c r="C745" s="28"/>
    </row>
    <row r="746">
      <c r="C746" s="28"/>
    </row>
    <row r="747">
      <c r="C747" s="28"/>
    </row>
    <row r="748">
      <c r="C748" s="28"/>
    </row>
    <row r="749">
      <c r="C749" s="28"/>
    </row>
    <row r="750">
      <c r="C750" s="28"/>
    </row>
    <row r="751">
      <c r="C751" s="28"/>
    </row>
    <row r="752">
      <c r="C752" s="28"/>
    </row>
    <row r="753">
      <c r="C753" s="28"/>
    </row>
    <row r="754">
      <c r="C754" s="28"/>
    </row>
    <row r="755">
      <c r="C755" s="28"/>
    </row>
    <row r="756">
      <c r="C756" s="28"/>
    </row>
    <row r="757">
      <c r="C757" s="28"/>
    </row>
    <row r="758">
      <c r="C758" s="28"/>
    </row>
    <row r="759">
      <c r="C759" s="28"/>
    </row>
    <row r="760">
      <c r="C760" s="28"/>
    </row>
    <row r="761">
      <c r="C761" s="28"/>
    </row>
    <row r="762">
      <c r="C762" s="28"/>
    </row>
    <row r="763">
      <c r="C763" s="28"/>
    </row>
    <row r="764">
      <c r="C764" s="28"/>
    </row>
    <row r="765">
      <c r="C765" s="28"/>
    </row>
    <row r="766">
      <c r="C766" s="28"/>
    </row>
    <row r="767">
      <c r="C767" s="28"/>
    </row>
    <row r="768">
      <c r="C768" s="28"/>
    </row>
    <row r="769">
      <c r="C769" s="28"/>
    </row>
    <row r="770">
      <c r="C770" s="28"/>
    </row>
    <row r="771">
      <c r="C771" s="28"/>
    </row>
    <row r="772">
      <c r="C772" s="28"/>
    </row>
    <row r="773">
      <c r="C773" s="28"/>
    </row>
    <row r="774">
      <c r="C774" s="28"/>
    </row>
    <row r="775">
      <c r="C775" s="28"/>
    </row>
    <row r="776">
      <c r="C776" s="28"/>
    </row>
    <row r="777">
      <c r="C777" s="28"/>
    </row>
    <row r="778">
      <c r="C778" s="28"/>
    </row>
    <row r="779">
      <c r="C779" s="28"/>
    </row>
    <row r="780">
      <c r="C780" s="28"/>
    </row>
    <row r="781">
      <c r="C781" s="28"/>
    </row>
    <row r="782">
      <c r="C782" s="28"/>
    </row>
    <row r="783">
      <c r="C783" s="28"/>
    </row>
    <row r="784">
      <c r="C784" s="28"/>
    </row>
    <row r="785">
      <c r="C785" s="28"/>
    </row>
    <row r="786">
      <c r="C786" s="28"/>
    </row>
    <row r="787">
      <c r="C787" s="28"/>
    </row>
    <row r="788">
      <c r="C788" s="28"/>
    </row>
    <row r="789">
      <c r="C789" s="28"/>
    </row>
    <row r="790">
      <c r="C790" s="28"/>
    </row>
    <row r="791">
      <c r="C791" s="28"/>
    </row>
    <row r="792">
      <c r="C792" s="28"/>
    </row>
    <row r="793">
      <c r="C793" s="28"/>
    </row>
    <row r="794">
      <c r="C794" s="28"/>
    </row>
    <row r="795">
      <c r="C795" s="28"/>
    </row>
    <row r="796">
      <c r="C796" s="28"/>
    </row>
    <row r="797">
      <c r="C797" s="28"/>
    </row>
    <row r="798">
      <c r="C798" s="28"/>
    </row>
    <row r="799">
      <c r="C799" s="28"/>
    </row>
    <row r="800">
      <c r="C800" s="28"/>
    </row>
    <row r="801">
      <c r="C801" s="28"/>
    </row>
    <row r="802">
      <c r="C802" s="28"/>
    </row>
    <row r="803">
      <c r="C803" s="28"/>
    </row>
    <row r="804">
      <c r="C804" s="28"/>
    </row>
    <row r="805">
      <c r="C805" s="28"/>
    </row>
    <row r="806">
      <c r="C806" s="28"/>
    </row>
    <row r="807">
      <c r="C807" s="28"/>
    </row>
    <row r="808">
      <c r="C808" s="28"/>
    </row>
    <row r="809">
      <c r="C809" s="28"/>
    </row>
    <row r="810">
      <c r="C810" s="28"/>
    </row>
    <row r="811">
      <c r="C811" s="28"/>
    </row>
    <row r="812">
      <c r="C812" s="28"/>
    </row>
    <row r="813">
      <c r="C813" s="28"/>
    </row>
    <row r="814">
      <c r="C814" s="28"/>
    </row>
    <row r="815">
      <c r="C815" s="28"/>
    </row>
    <row r="816">
      <c r="C816" s="28"/>
    </row>
    <row r="817">
      <c r="C817" s="28"/>
    </row>
    <row r="818">
      <c r="C818" s="28"/>
    </row>
    <row r="819">
      <c r="C819" s="28"/>
    </row>
    <row r="820">
      <c r="C820" s="28"/>
    </row>
    <row r="821">
      <c r="C821" s="28"/>
    </row>
    <row r="822">
      <c r="C822" s="28"/>
    </row>
    <row r="823">
      <c r="C823" s="28"/>
    </row>
    <row r="824">
      <c r="C824" s="28"/>
    </row>
    <row r="825">
      <c r="C825" s="28"/>
    </row>
    <row r="826">
      <c r="C826" s="28"/>
    </row>
    <row r="827">
      <c r="C827" s="28"/>
    </row>
    <row r="828">
      <c r="C828" s="28"/>
    </row>
    <row r="829">
      <c r="C829" s="28"/>
    </row>
    <row r="830">
      <c r="C830" s="28"/>
    </row>
    <row r="831">
      <c r="C831" s="28"/>
    </row>
    <row r="832">
      <c r="C832" s="28"/>
    </row>
    <row r="833">
      <c r="C833" s="28"/>
    </row>
    <row r="834">
      <c r="C834" s="28"/>
    </row>
    <row r="835">
      <c r="C835" s="28"/>
    </row>
    <row r="836">
      <c r="C836" s="28"/>
    </row>
    <row r="837">
      <c r="C837" s="28"/>
    </row>
    <row r="838">
      <c r="C838" s="28"/>
    </row>
    <row r="839">
      <c r="C839" s="28"/>
    </row>
    <row r="840">
      <c r="C840" s="28"/>
    </row>
    <row r="841">
      <c r="C841" s="28"/>
    </row>
    <row r="842">
      <c r="C842" s="28"/>
    </row>
    <row r="843">
      <c r="C843" s="28"/>
    </row>
    <row r="844">
      <c r="C844" s="28"/>
    </row>
    <row r="845">
      <c r="C845" s="28"/>
    </row>
    <row r="846">
      <c r="C846" s="28"/>
    </row>
    <row r="847">
      <c r="C847" s="28"/>
    </row>
    <row r="848">
      <c r="C848" s="28"/>
    </row>
    <row r="849">
      <c r="C849" s="28"/>
    </row>
    <row r="850">
      <c r="C850" s="28"/>
    </row>
    <row r="851">
      <c r="C851" s="28"/>
    </row>
    <row r="852">
      <c r="C852" s="28"/>
    </row>
    <row r="853">
      <c r="C853" s="28"/>
    </row>
    <row r="854">
      <c r="C854" s="28"/>
    </row>
    <row r="855">
      <c r="C855" s="28"/>
    </row>
    <row r="856">
      <c r="C856" s="28"/>
    </row>
    <row r="857">
      <c r="C857" s="28"/>
    </row>
    <row r="858">
      <c r="C858" s="28"/>
    </row>
    <row r="859">
      <c r="C859" s="28"/>
    </row>
    <row r="860">
      <c r="C860" s="28"/>
    </row>
    <row r="861">
      <c r="C861" s="28"/>
    </row>
    <row r="862">
      <c r="C862" s="28"/>
    </row>
    <row r="863">
      <c r="C863" s="28"/>
    </row>
    <row r="864">
      <c r="C864" s="28"/>
    </row>
    <row r="865">
      <c r="C865" s="28"/>
    </row>
    <row r="866">
      <c r="C866" s="28"/>
    </row>
    <row r="867">
      <c r="C867" s="28"/>
    </row>
    <row r="868">
      <c r="C868" s="28"/>
    </row>
    <row r="869">
      <c r="C869" s="28"/>
    </row>
    <row r="870">
      <c r="C870" s="28"/>
    </row>
    <row r="871">
      <c r="C871" s="28"/>
    </row>
    <row r="872">
      <c r="C872" s="28"/>
    </row>
    <row r="873">
      <c r="C873" s="28"/>
    </row>
    <row r="874">
      <c r="C874" s="28"/>
    </row>
    <row r="875">
      <c r="C875" s="28"/>
    </row>
    <row r="876">
      <c r="C876" s="28"/>
    </row>
    <row r="877">
      <c r="C877" s="28"/>
    </row>
    <row r="878">
      <c r="C878" s="28"/>
    </row>
    <row r="879">
      <c r="C879" s="28"/>
    </row>
    <row r="880">
      <c r="C880" s="28"/>
    </row>
    <row r="881">
      <c r="C881" s="28"/>
    </row>
    <row r="882">
      <c r="C882" s="28"/>
    </row>
    <row r="883">
      <c r="C883" s="28"/>
    </row>
    <row r="884">
      <c r="C884" s="28"/>
    </row>
    <row r="885">
      <c r="C885" s="28"/>
    </row>
    <row r="886">
      <c r="C886" s="28"/>
    </row>
    <row r="887">
      <c r="C887" s="28"/>
    </row>
    <row r="888">
      <c r="C888" s="28"/>
    </row>
    <row r="889">
      <c r="C889" s="28"/>
    </row>
    <row r="890">
      <c r="C890" s="28"/>
    </row>
    <row r="891">
      <c r="C891" s="28"/>
    </row>
    <row r="892">
      <c r="C892" s="28"/>
    </row>
    <row r="893">
      <c r="C893" s="28"/>
    </row>
    <row r="894">
      <c r="C894" s="28"/>
    </row>
    <row r="895">
      <c r="C895" s="28"/>
    </row>
    <row r="896">
      <c r="C896" s="28"/>
    </row>
    <row r="897">
      <c r="C897" s="28"/>
    </row>
    <row r="898">
      <c r="C898" s="28"/>
    </row>
    <row r="899">
      <c r="C899" s="28"/>
    </row>
    <row r="900">
      <c r="C900" s="28"/>
    </row>
    <row r="901">
      <c r="C901" s="28"/>
    </row>
    <row r="902">
      <c r="C902" s="28"/>
    </row>
    <row r="903">
      <c r="C903" s="28"/>
    </row>
    <row r="904">
      <c r="C904" s="28"/>
    </row>
    <row r="905">
      <c r="C905" s="28"/>
    </row>
    <row r="906">
      <c r="C906" s="28"/>
    </row>
    <row r="907">
      <c r="C907" s="28"/>
    </row>
    <row r="908">
      <c r="C908" s="28"/>
    </row>
    <row r="909">
      <c r="C909" s="28"/>
    </row>
    <row r="910">
      <c r="C910" s="28"/>
    </row>
    <row r="911">
      <c r="C911" s="28"/>
    </row>
    <row r="912">
      <c r="C912" s="28"/>
    </row>
    <row r="913">
      <c r="C913" s="28"/>
    </row>
    <row r="914">
      <c r="C914" s="28"/>
    </row>
    <row r="915">
      <c r="C915" s="28"/>
    </row>
    <row r="916">
      <c r="C916" s="28"/>
    </row>
    <row r="917">
      <c r="C917" s="28"/>
    </row>
    <row r="918">
      <c r="C918" s="28"/>
    </row>
    <row r="919">
      <c r="C919" s="28"/>
    </row>
    <row r="920">
      <c r="C920" s="28"/>
    </row>
    <row r="921">
      <c r="C921" s="28"/>
    </row>
    <row r="922">
      <c r="C922" s="28"/>
    </row>
    <row r="923">
      <c r="C923" s="28"/>
    </row>
    <row r="924">
      <c r="C924" s="28"/>
    </row>
    <row r="925">
      <c r="C925" s="28"/>
    </row>
    <row r="926">
      <c r="C926" s="28"/>
    </row>
    <row r="927">
      <c r="C927" s="28"/>
    </row>
    <row r="928">
      <c r="C928" s="28"/>
    </row>
    <row r="929">
      <c r="C929" s="28"/>
    </row>
    <row r="930">
      <c r="C930" s="28"/>
    </row>
    <row r="931">
      <c r="C931" s="28"/>
    </row>
    <row r="932">
      <c r="C932" s="28"/>
    </row>
    <row r="933">
      <c r="C933" s="28"/>
    </row>
    <row r="934">
      <c r="C934" s="28"/>
    </row>
    <row r="935">
      <c r="C935" s="28"/>
    </row>
    <row r="936">
      <c r="C936" s="28"/>
    </row>
    <row r="937">
      <c r="C937" s="28"/>
    </row>
    <row r="938">
      <c r="C938" s="28"/>
    </row>
    <row r="939">
      <c r="C939" s="28"/>
    </row>
    <row r="940">
      <c r="C940" s="28"/>
    </row>
    <row r="941">
      <c r="C941" s="28"/>
    </row>
    <row r="942">
      <c r="C942" s="28"/>
    </row>
    <row r="943">
      <c r="C943" s="28"/>
    </row>
    <row r="944">
      <c r="C944" s="28"/>
    </row>
    <row r="945">
      <c r="C945" s="28"/>
    </row>
    <row r="946">
      <c r="C946" s="28"/>
    </row>
    <row r="947">
      <c r="C947" s="28"/>
    </row>
    <row r="948">
      <c r="C948" s="28"/>
    </row>
    <row r="949">
      <c r="C949" s="28"/>
    </row>
    <row r="950">
      <c r="C950" s="28"/>
    </row>
    <row r="951">
      <c r="C951" s="28"/>
    </row>
    <row r="952">
      <c r="C952" s="28"/>
    </row>
    <row r="953">
      <c r="C953" s="28"/>
    </row>
    <row r="954">
      <c r="C954" s="28"/>
    </row>
    <row r="955">
      <c r="C955" s="28"/>
    </row>
    <row r="956">
      <c r="C956" s="28"/>
    </row>
    <row r="957">
      <c r="C957" s="28"/>
    </row>
    <row r="958">
      <c r="C958" s="28"/>
    </row>
    <row r="959">
      <c r="C959" s="28"/>
    </row>
    <row r="960">
      <c r="C960" s="28"/>
    </row>
    <row r="961">
      <c r="C961" s="28"/>
    </row>
    <row r="962">
      <c r="C962" s="28"/>
    </row>
    <row r="963">
      <c r="C963" s="28"/>
    </row>
    <row r="964">
      <c r="C964" s="28"/>
    </row>
    <row r="965">
      <c r="C965" s="28"/>
    </row>
    <row r="966">
      <c r="C966" s="28"/>
    </row>
    <row r="967">
      <c r="C967" s="28"/>
    </row>
    <row r="968">
      <c r="C968" s="28"/>
    </row>
    <row r="969">
      <c r="C969" s="28"/>
    </row>
    <row r="970">
      <c r="C970" s="28"/>
    </row>
    <row r="971">
      <c r="C971" s="28"/>
    </row>
    <row r="972">
      <c r="C972" s="28"/>
    </row>
    <row r="973">
      <c r="C973" s="28"/>
    </row>
    <row r="974">
      <c r="C974" s="28"/>
    </row>
    <row r="975">
      <c r="C975" s="28"/>
    </row>
    <row r="976">
      <c r="C976" s="28"/>
    </row>
    <row r="977">
      <c r="C977" s="28"/>
    </row>
    <row r="978">
      <c r="C978" s="28"/>
    </row>
    <row r="979">
      <c r="C979" s="28"/>
    </row>
    <row r="980">
      <c r="C980" s="28"/>
    </row>
    <row r="981">
      <c r="C981" s="28"/>
    </row>
    <row r="982">
      <c r="C982" s="28"/>
    </row>
    <row r="983">
      <c r="C983" s="28"/>
    </row>
    <row r="984">
      <c r="C984" s="28"/>
    </row>
    <row r="985">
      <c r="C985" s="28"/>
    </row>
    <row r="986">
      <c r="C986" s="28"/>
    </row>
    <row r="987">
      <c r="C987" s="28"/>
    </row>
    <row r="988">
      <c r="C988" s="28"/>
    </row>
    <row r="989">
      <c r="C989" s="28"/>
    </row>
    <row r="990">
      <c r="C990" s="28"/>
    </row>
    <row r="991">
      <c r="C991" s="28"/>
    </row>
    <row r="992">
      <c r="C992" s="28"/>
    </row>
    <row r="993">
      <c r="C993" s="28"/>
    </row>
    <row r="994">
      <c r="C994" s="28"/>
    </row>
    <row r="995">
      <c r="C995" s="28"/>
    </row>
    <row r="996">
      <c r="C996" s="28"/>
    </row>
    <row r="997">
      <c r="C997" s="28"/>
    </row>
    <row r="998">
      <c r="C998" s="28"/>
    </row>
    <row r="999">
      <c r="C999" s="28"/>
    </row>
    <row r="1000">
      <c r="C1000" s="28"/>
    </row>
    <row r="1001">
      <c r="C1001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0"/>
    <col customWidth="1" min="2" max="2" width="49.63"/>
    <col customWidth="1" min="4" max="4" width="12.25"/>
    <col customWidth="1" min="5" max="5" width="11.88"/>
    <col customWidth="1" min="6" max="6" width="12.13"/>
    <col customWidth="1" min="7" max="7" width="13.0"/>
    <col hidden="1" min="9" max="9" width="12.63"/>
    <col customWidth="1" min="11" max="11" width="97.25"/>
    <col customWidth="1" min="12" max="12" width="8.75"/>
    <col customWidth="1" min="13" max="13" width="8.13"/>
    <col customWidth="1" min="14" max="16" width="8.38"/>
    <col customWidth="1" min="17" max="17" width="8.13"/>
    <col customWidth="1" min="18" max="18" width="8.38"/>
    <col customWidth="1" min="19" max="19" width="7.75"/>
    <col customWidth="1" min="20" max="20" width="8.75"/>
    <col customWidth="1" min="21" max="21" width="10.5"/>
    <col customWidth="1" min="22" max="22" width="33.38"/>
    <col customWidth="1" min="23" max="23" width="17.88"/>
  </cols>
  <sheetData>
    <row r="1">
      <c r="A1" s="8" t="s">
        <v>13</v>
      </c>
      <c r="B1" s="8" t="s">
        <v>52</v>
      </c>
      <c r="C1" s="8" t="s">
        <v>54</v>
      </c>
      <c r="D1" s="8" t="s">
        <v>56</v>
      </c>
      <c r="E1" s="8" t="s">
        <v>57</v>
      </c>
      <c r="F1" s="8" t="s">
        <v>60</v>
      </c>
      <c r="G1" s="8" t="s">
        <v>61</v>
      </c>
      <c r="H1" s="8" t="s">
        <v>63</v>
      </c>
      <c r="I1" s="8" t="s">
        <v>65</v>
      </c>
      <c r="J1" s="8" t="s">
        <v>67</v>
      </c>
      <c r="K1" s="8" t="s">
        <v>69</v>
      </c>
      <c r="L1" s="8" t="s">
        <v>71</v>
      </c>
      <c r="M1" s="8" t="s">
        <v>72</v>
      </c>
      <c r="N1" s="8" t="s">
        <v>75</v>
      </c>
      <c r="O1" s="8" t="s">
        <v>78</v>
      </c>
      <c r="P1" s="8" t="s">
        <v>80</v>
      </c>
      <c r="Q1" s="8" t="s">
        <v>82</v>
      </c>
      <c r="R1" s="8" t="s">
        <v>83</v>
      </c>
      <c r="S1" s="8" t="s">
        <v>84</v>
      </c>
      <c r="T1" s="8" t="s">
        <v>88</v>
      </c>
      <c r="U1" s="8" t="s">
        <v>109</v>
      </c>
      <c r="V1" s="8" t="s">
        <v>111</v>
      </c>
      <c r="W1" s="8" t="s">
        <v>114</v>
      </c>
      <c r="X1" s="6" t="s">
        <v>118</v>
      </c>
      <c r="Y1" s="6" t="s">
        <v>119</v>
      </c>
      <c r="Z1" s="6" t="s">
        <v>120</v>
      </c>
      <c r="AA1" s="6" t="s">
        <v>122</v>
      </c>
    </row>
    <row r="2" ht="15.75" customHeight="1">
      <c r="A2" s="25" t="s">
        <v>81</v>
      </c>
      <c r="B2" s="29" t="str">
        <f>IFERROR(VLOOKUP(A2,Projetos!$A$2:$C$7,2,FALSE),"")
</f>
        <v>.NET Corporate Portal Maintainance</v>
      </c>
      <c r="C2" s="6" t="s">
        <v>187</v>
      </c>
      <c r="D2" s="30" t="s">
        <v>133</v>
      </c>
      <c r="E2" s="30" t="s">
        <v>30</v>
      </c>
      <c r="F2" s="30" t="s">
        <v>68</v>
      </c>
      <c r="G2" s="30" t="s">
        <v>196</v>
      </c>
      <c r="H2" s="30">
        <v>3.0</v>
      </c>
      <c r="I2" s="30">
        <v>4.0</v>
      </c>
      <c r="J2" s="31"/>
      <c r="K2" s="6" t="s">
        <v>208</v>
      </c>
      <c r="L2" s="6" t="str">
        <f>IFERROR(__xludf.DUMMYFUNCTION("IFERROR(REGEXEXTRACT($K2,""DOM\s*M\((\d+/\d+)\)""),"""")
"),"1/2")</f>
        <v>1/2</v>
      </c>
      <c r="M2" s="6" t="str">
        <f>IFERROR(__xludf.DUMMYFUNCTION("IFERROR(REGEXEXTRACT($K2,""DOM.*?S\((\d+/\d+)\)""),"""")
"),"0/1")</f>
        <v>0/1</v>
      </c>
      <c r="N2" s="6" t="str">
        <f>IFERROR(__xludf.DUMMYFUNCTION("IFERROR(REGEXEXTRACT($K2,""DOM.*?C\((\d+/\d+)\)""),"""")
"),"1/1")</f>
        <v>1/1</v>
      </c>
      <c r="O2" s="6" t="str">
        <f>IFERROR(__xludf.DUMMYFUNCTION("IFERROR(REGEXEXTRACT($K2,""ECO\s*M\((\d+/\d+)\)""),"""")
"),"0/1")</f>
        <v>0/1</v>
      </c>
      <c r="P2" s="6" t="str">
        <f>IFERROR(__xludf.DUMMYFUNCTION("IFERROR(REGEXEXTRACT($K2,""ECO.*?S\((\d+/\d+)\)""),"""")
"),"1/1")</f>
        <v>1/1</v>
      </c>
      <c r="Q2" s="6" t="str">
        <f>IFERROR(__xludf.DUMMYFUNCTION("IFERROR(REGEXEXTRACT($K2,""ECO.*?C\((\d+/\d+)\)""),"""")
"),"0/1")</f>
        <v>0/1</v>
      </c>
      <c r="R2" s="6" t="str">
        <f>IFERROR(__xludf.DUMMYFUNCTION("IFERROR(REGEXEXTRACT($K2,""LING\s*M\((\d+/\d+)\)""),"""")
"),"0/1")</f>
        <v>0/1</v>
      </c>
      <c r="S2" s="6" t="str">
        <f>IFERROR(__xludf.DUMMYFUNCTION("IFERROR(REGEXEXTRACT($K2,""LING.*?S\((\d+/\d+)\)""),"""")
"),"1/2")</f>
        <v>1/2</v>
      </c>
      <c r="T2" s="6" t="str">
        <f>IFERROR(__xludf.DUMMYFUNCTION("IFERROR(REGEXEXTRACT($K2,""LING[^|]*C\(([0-9]+/[0-9]+)\)""),"""")
"),"0/1")</f>
        <v>0/1</v>
      </c>
      <c r="U2" s="6" t="b">
        <f>IFERROR(__xludf.DUMMYFUNCTION("AND(
  VALUE(INDEX(SPLIT(L2,""/""),1))=VALUE(INDEX(SPLIT(L2,""/""),2)),
  VALUE(INDEX(SPLIT(O2,""/""),1))=VALUE(INDEX(SPLIT(O2,""/""),2)),
  VALUE(INDEX(SPLIT(R2,""/""),1))=VALUE(INDEX(SPLIT(R2,""/""),2))
)
"),FALSE)</f>
        <v>0</v>
      </c>
      <c r="V2" s="6" t="str">
        <f>IFERROR(__xludf.DUMMYFUNCTION("IF($U2=TRUE,""OK"",
 TEXTJOIN("" | "",TRUE,
  IF(VALUE(INDEX(SPLIT($L2,""/""),2))-VALUE(INDEX(SPLIT($L2,""/""),1))&gt;0,
    ""DOM faltam ""&amp;(VALUE(INDEX(SPLIT($L2,""/""),2))-VALUE(INDEX(SPLIT($L2,""/""),1))),
  """"),
  IF(VALUE(INDEX(SPLIT($O2,""/""),2))-V"&amp;"ALUE(INDEX(SPLIT($O2,""/""),1))&gt;0,
    ""ECO faltam ""&amp;(VALUE(INDEX(SPLIT($O2,""/""),2))-VALUE(INDEX(SPLIT($O2,""/""),1))),
  """"),
  IF(VALUE(INDEX(SPLIT($R2,""/""),2))-VALUE(INDEX(SPLIT($R2,""/""),1))&gt;0,
    ""LING faltam ""&amp;(VALUE(INDEX(SPLIT($R2,""/"&amp;"""),2))-VALUE(INDEX(SPLIT($R2,""/""),1))),
  """")
 )
)
"),"DOM faltam 1 | ECO faltam 1 | LING faltam 1")</f>
        <v>DOM faltam 1 | ECO faltam 1 | LING faltam 1</v>
      </c>
      <c r="W2" s="6">
        <f>IFERROR(__xludf.DUMMYFUNCTION(" (VALUE(INDEX(SPLIT(L2,""/""),2))-VALUE(INDEX(SPLIT(L2,""/""),1)))
+ (VALUE(INDEX(SPLIT(O2,""/""),2))-VALUE(INDEX(SPLIT(O2,""/""),1)))
+ (VALUE(INDEX(SPLIT(R2,""/""),2))-VALUE(INDEX(SPLIT(R2,""/""),1)))
"),3.0)</f>
        <v>3</v>
      </c>
      <c r="X2" s="6" t="s">
        <v>264</v>
      </c>
      <c r="Y2" s="6" t="s">
        <v>266</v>
      </c>
      <c r="Z2" s="6" t="s">
        <v>267</v>
      </c>
      <c r="AA2" s="6" t="s">
        <v>269</v>
      </c>
    </row>
    <row r="3" ht="17.25" customHeight="1">
      <c r="A3" s="34"/>
      <c r="B3" s="35" t="str">
        <f>IFERROR(
"DOM  M["&amp;VLOOKUP($A2,Projetos!$A:$L,4,FALSE)&amp;"] S["&amp;VLOOKUP($A2,Projetos!$A:$L,5,FALSE)&amp;"] C["&amp;VLOOKUP($A2,Projetos!$A:$L,6,FALSE)&amp;"]"&amp;CHAR(10)&amp;
"ECO  M["&amp;VLOOKUP($A2,Projetos!$A:$L,7,FALSE)&amp;"] S["&amp;VLOOKUP($A2,Projetos!$A:$L,8,FALSE)&amp;"] C["&amp;VLOOKUP($A2,Projetos!$A:$L,9,FALSE)&amp;"]"&amp;CHAR(10)&amp;
"LING M["&amp;VLOOKUP($A2,Projetos!$A:$L,10,FALSE)&amp;"] S["&amp;VLOOKUP($A2,Projetos!$A:$L,11,FALSE)&amp;"] C["&amp;VLOOKUP($A2,Projetos!$A:$L,12,FALSE)&amp;"]"
,"")
</f>
        <v>DOM  M[Desktop, Web] S[Cloud] C[Mobile]
ECO  M[.NET] S[React] C[MongoDB]
LING M[C#] S[JavaScript, TypeScript] C[Python]</v>
      </c>
      <c r="C3" s="6" t="s">
        <v>292</v>
      </c>
      <c r="D3" s="6" t="s">
        <v>58</v>
      </c>
      <c r="E3" s="6" t="s">
        <v>241</v>
      </c>
      <c r="F3" s="6" t="s">
        <v>238</v>
      </c>
      <c r="G3" s="6" t="s">
        <v>220</v>
      </c>
      <c r="H3" s="6">
        <v>4.0</v>
      </c>
      <c r="I3" s="6">
        <v>5.0</v>
      </c>
      <c r="J3" s="39"/>
      <c r="K3" s="6" t="s">
        <v>295</v>
      </c>
      <c r="L3" s="6" t="str">
        <f>IFERROR(__xludf.DUMMYFUNCTION("IFERROR(REGEXEXTRACT($K3,""DOM\s*M\((\d+/\d+)\)""),"""")
"),"1/2")</f>
        <v>1/2</v>
      </c>
      <c r="M3" s="6" t="str">
        <f>IFERROR(__xludf.DUMMYFUNCTION("IFERROR(REGEXEXTRACT($K3,""DOM.*?S\((\d+/\d+)\)""),"""")
"),"0/1")</f>
        <v>0/1</v>
      </c>
      <c r="N3" s="6" t="str">
        <f>IFERROR(__xludf.DUMMYFUNCTION("IFERROR(REGEXEXTRACT($K3,""DOM.*?C\((\d+/\d+)\)""),"""")
"),"0/1")</f>
        <v>0/1</v>
      </c>
      <c r="O3" s="6" t="str">
        <f>IFERROR(__xludf.DUMMYFUNCTION("IFERROR(REGEXEXTRACT($K3,""ECO\s*M\((\d+/\d+)\)""),"""")
"),"0/1")</f>
        <v>0/1</v>
      </c>
      <c r="P3" s="6" t="str">
        <f>IFERROR(__xludf.DUMMYFUNCTION("IFERROR(REGEXEXTRACT($K3,""ECO.*?S\((\d+/\d+)\)""),"""")
"),"1/1")</f>
        <v>1/1</v>
      </c>
      <c r="Q3" s="6" t="str">
        <f>IFERROR(__xludf.DUMMYFUNCTION("IFERROR(REGEXEXTRACT($K3,""ECO.*?C\((\d+/\d+)\)""),"""")
"),"0/1")</f>
        <v>0/1</v>
      </c>
      <c r="R3" s="6" t="str">
        <f>IFERROR(__xludf.DUMMYFUNCTION("IFERROR(REGEXEXTRACT($K3,""LING\s*M\((\d+/\d+)\)""),"""")
"),"0/1")</f>
        <v>0/1</v>
      </c>
      <c r="S3" s="6" t="str">
        <f>IFERROR(__xludf.DUMMYFUNCTION("IFERROR(REGEXEXTRACT($K3,""LING.*?S\((\d+/\d+)\)""),"""")
"),"2/2")</f>
        <v>2/2</v>
      </c>
      <c r="T3" s="6" t="str">
        <f>IFERROR(__xludf.DUMMYFUNCTION("IFERROR(REGEXEXTRACT($K3,""LING[^|]*C\(([0-9]+/[0-9]+)\)""),"""")
"),"1/1")</f>
        <v>1/1</v>
      </c>
      <c r="U3" s="6" t="b">
        <f>IFERROR(__xludf.DUMMYFUNCTION("AND(
  VALUE(INDEX(SPLIT(L3,""/""),1))=VALUE(INDEX(SPLIT(L3,""/""),2)),
  VALUE(INDEX(SPLIT(O3,""/""),1))=VALUE(INDEX(SPLIT(O3,""/""),2)),
  VALUE(INDEX(SPLIT(R3,""/""),1))=VALUE(INDEX(SPLIT(R3,""/""),2))
)
"),FALSE)</f>
        <v>0</v>
      </c>
      <c r="V3" s="6" t="str">
        <f>IFERROR(__xludf.DUMMYFUNCTION("IF($U3=TRUE,""OK"",
 TEXTJOIN("" | "",TRUE,
  IF(VALUE(INDEX(SPLIT($L3,""/""),2))-VALUE(INDEX(SPLIT($L3,""/""),1))&gt;0,
    ""DOM faltam ""&amp;(VALUE(INDEX(SPLIT($L3,""/""),2))-VALUE(INDEX(SPLIT($L3,""/""),1))),
  """"),
  IF(VALUE(INDEX(SPLIT($O3,""/""),2))-V"&amp;"ALUE(INDEX(SPLIT($O3,""/""),1))&gt;0,
    ""ECO faltam ""&amp;(VALUE(INDEX(SPLIT($O3,""/""),2))-VALUE(INDEX(SPLIT($O3,""/""),1))),
  """"),
  IF(VALUE(INDEX(SPLIT($R3,""/""),2))-VALUE(INDEX(SPLIT($R3,""/""),1))&gt;0,
    ""LING faltam ""&amp;(VALUE(INDEX(SPLIT($R3,""/"&amp;"""),2))-VALUE(INDEX(SPLIT($R3,""/""),1))),
  """")
 )
)
"),"DOM faltam 1 | ECO faltam 1 | LING faltam 1")</f>
        <v>DOM faltam 1 | ECO faltam 1 | LING faltam 1</v>
      </c>
      <c r="W3" s="6">
        <f>IFERROR(__xludf.DUMMYFUNCTION(" (VALUE(INDEX(SPLIT(L3,""/""),2))-VALUE(INDEX(SPLIT(L3,""/""),1)))
+ (VALUE(INDEX(SPLIT(O3,""/""),2))-VALUE(INDEX(SPLIT(O3,""/""),1)))
+ (VALUE(INDEX(SPLIT(R3,""/""),2))-VALUE(INDEX(SPLIT(R3,""/""),1)))
"),3.0)</f>
        <v>3</v>
      </c>
      <c r="X3" s="6"/>
      <c r="Y3" s="6"/>
      <c r="Z3" s="6"/>
      <c r="AA3" s="6"/>
      <c r="AB3" s="6"/>
    </row>
    <row r="4" ht="15.75" customHeight="1">
      <c r="A4" s="34"/>
      <c r="C4" s="6" t="s">
        <v>294</v>
      </c>
      <c r="D4" s="6" t="s">
        <v>157</v>
      </c>
      <c r="E4" s="6" t="s">
        <v>244</v>
      </c>
      <c r="F4" s="6" t="s">
        <v>196</v>
      </c>
      <c r="G4" s="6" t="s">
        <v>224</v>
      </c>
      <c r="H4" s="6">
        <v>4.0</v>
      </c>
      <c r="I4" s="6">
        <v>5.0</v>
      </c>
      <c r="J4" s="39"/>
      <c r="K4" s="6" t="s">
        <v>301</v>
      </c>
      <c r="L4" s="6" t="str">
        <f>IFERROR(__xludf.DUMMYFUNCTION("IFERROR(REGEXEXTRACT($K4,""DOM\s*M\((\d+/\d+)\)""),"""")
"),"1/2")</f>
        <v>1/2</v>
      </c>
      <c r="M4" s="6" t="str">
        <f>IFERROR(__xludf.DUMMYFUNCTION("IFERROR(REGEXEXTRACT($K4,""DOM.*?S\((\d+/\d+)\)""),"""")
"),"0/1")</f>
        <v>0/1</v>
      </c>
      <c r="N4" s="6" t="str">
        <f>IFERROR(__xludf.DUMMYFUNCTION("IFERROR(REGEXEXTRACT($K4,""DOM.*?C\((\d+/\d+)\)""),"""")
"),"1/1")</f>
        <v>1/1</v>
      </c>
      <c r="O4" s="6" t="str">
        <f>IFERROR(__xludf.DUMMYFUNCTION("IFERROR(REGEXEXTRACT($K4,""ECO\s*M\((\d+/\d+)\)""),"""")
"),"0/1")</f>
        <v>0/1</v>
      </c>
      <c r="P4" s="6" t="str">
        <f>IFERROR(__xludf.DUMMYFUNCTION("IFERROR(REGEXEXTRACT($K4,""ECO.*?S\((\d+/\d+)\)""),"""")
"),"1/1")</f>
        <v>1/1</v>
      </c>
      <c r="Q4" s="6" t="str">
        <f>IFERROR(__xludf.DUMMYFUNCTION("IFERROR(REGEXEXTRACT($K4,""ECO.*?C\((\d+/\d+)\)""),"""")
"),"0/1")</f>
        <v>0/1</v>
      </c>
      <c r="R4" s="6" t="str">
        <f>IFERROR(__xludf.DUMMYFUNCTION("IFERROR(REGEXEXTRACT($K4,""LING\s*M\((\d+/\d+)\)""),"""")
"),"0/1")</f>
        <v>0/1</v>
      </c>
      <c r="S4" s="6" t="str">
        <f>IFERROR(__xludf.DUMMYFUNCTION("IFERROR(REGEXEXTRACT($K4,""LING.*?S\((\d+/\d+)\)""),"""")
"),"1/2")</f>
        <v>1/2</v>
      </c>
      <c r="T4" s="6" t="str">
        <f>IFERROR(__xludf.DUMMYFUNCTION("IFERROR(REGEXEXTRACT($K4,""LING[^|]*C\(([0-9]+/[0-9]+)\)""),"""")
"),"0/1")</f>
        <v>0/1</v>
      </c>
      <c r="U4" s="6" t="b">
        <f>IFERROR(__xludf.DUMMYFUNCTION("AND(
  VALUE(INDEX(SPLIT(L4,""/""),1))=VALUE(INDEX(SPLIT(L4,""/""),2)),
  VALUE(INDEX(SPLIT(O4,""/""),1))=VALUE(INDEX(SPLIT(O4,""/""),2)),
  VALUE(INDEX(SPLIT(R4,""/""),1))=VALUE(INDEX(SPLIT(R4,""/""),2))
)
"),FALSE)</f>
        <v>0</v>
      </c>
      <c r="V4" s="6" t="str">
        <f>IFERROR(__xludf.DUMMYFUNCTION("IF($U4=TRUE,""OK"",
 TEXTJOIN("" | "",TRUE,
  IF(VALUE(INDEX(SPLIT($L4,""/""),2))-VALUE(INDEX(SPLIT($L4,""/""),1))&gt;0,
    ""DOM faltam ""&amp;(VALUE(INDEX(SPLIT($L4,""/""),2))-VALUE(INDEX(SPLIT($L4,""/""),1))),
  """"),
  IF(VALUE(INDEX(SPLIT($O4,""/""),2))-V"&amp;"ALUE(INDEX(SPLIT($O4,""/""),1))&gt;0,
    ""ECO faltam ""&amp;(VALUE(INDEX(SPLIT($O4,""/""),2))-VALUE(INDEX(SPLIT($O4,""/""),1))),
  """"),
  IF(VALUE(INDEX(SPLIT($R4,""/""),2))-VALUE(INDEX(SPLIT($R4,""/""),1))&gt;0,
    ""LING faltam ""&amp;(VALUE(INDEX(SPLIT($R4,""/"&amp;"""),2))-VALUE(INDEX(SPLIT($R4,""/""),1))),
  """")
 )
)
"),"DOM faltam 1 | ECO faltam 1 | LING faltam 1")</f>
        <v>DOM faltam 1 | ECO faltam 1 | LING faltam 1</v>
      </c>
      <c r="W4" s="6">
        <f>IFERROR(__xludf.DUMMYFUNCTION(" (VALUE(INDEX(SPLIT(L4,""/""),2))-VALUE(INDEX(SPLIT(L4,""/""),1)))
+ (VALUE(INDEX(SPLIT(O4,""/""),2))-VALUE(INDEX(SPLIT(O4,""/""),1)))
+ (VALUE(INDEX(SPLIT(R4,""/""),2))-VALUE(INDEX(SPLIT(R4,""/""),1)))
"),3.0)</f>
        <v>3</v>
      </c>
      <c r="X4" s="6" t="s">
        <v>304</v>
      </c>
      <c r="Y4" s="6" t="s">
        <v>305</v>
      </c>
      <c r="Z4" s="6" t="s">
        <v>306</v>
      </c>
      <c r="AA4" s="6" t="s">
        <v>307</v>
      </c>
    </row>
    <row r="5" ht="15.75" customHeight="1">
      <c r="A5" s="34"/>
      <c r="C5" s="6" t="s">
        <v>296</v>
      </c>
      <c r="D5" s="6" t="s">
        <v>35</v>
      </c>
      <c r="E5" s="6" t="s">
        <v>188</v>
      </c>
      <c r="F5" s="6" t="s">
        <v>177</v>
      </c>
      <c r="G5" s="6" t="s">
        <v>73</v>
      </c>
      <c r="H5" s="6">
        <v>2.0</v>
      </c>
      <c r="I5" s="6">
        <v>3.0</v>
      </c>
      <c r="J5" s="39"/>
      <c r="K5" s="6" t="s">
        <v>309</v>
      </c>
      <c r="L5" s="6" t="str">
        <f>IFERROR(__xludf.DUMMYFUNCTION("IFERROR(REGEXEXTRACT($K5,""DOM\s*M\((\d+/\d+)\)""),"""")
"),"2/2")</f>
        <v>2/2</v>
      </c>
      <c r="M5" s="6" t="str">
        <f>IFERROR(__xludf.DUMMYFUNCTION("IFERROR(REGEXEXTRACT($K5,""DOM.*?S\((\d+/\d+)\)""),"""")
"),"0/1")</f>
        <v>0/1</v>
      </c>
      <c r="N5" s="6" t="str">
        <f>IFERROR(__xludf.DUMMYFUNCTION("IFERROR(REGEXEXTRACT($K5,""DOM.*?C\((\d+/\d+)\)""),"""")
"),"0/1")</f>
        <v>0/1</v>
      </c>
      <c r="O5" s="6" t="str">
        <f>IFERROR(__xludf.DUMMYFUNCTION("IFERROR(REGEXEXTRACT($K5,""ECO\s*M\((\d+/\d+)\)""),"""")
"),"1/1")</f>
        <v>1/1</v>
      </c>
      <c r="P5" s="6" t="str">
        <f>IFERROR(__xludf.DUMMYFUNCTION("IFERROR(REGEXEXTRACT($K5,""ECO.*?S\((\d+/\d+)\)""),"""")
"),"0/1")</f>
        <v>0/1</v>
      </c>
      <c r="Q5" s="6" t="str">
        <f>IFERROR(__xludf.DUMMYFUNCTION("IFERROR(REGEXEXTRACT($K5,""ECO.*?C\((\d+/\d+)\)""),"""")
"),"0/1")</f>
        <v>0/1</v>
      </c>
      <c r="R5" s="6" t="str">
        <f>IFERROR(__xludf.DUMMYFUNCTION("IFERROR(REGEXEXTRACT($K5,""LING\s*M\((\d+/\d+)\)""),"""")
"),"1/1")</f>
        <v>1/1</v>
      </c>
      <c r="S5" s="6" t="str">
        <f>IFERROR(__xludf.DUMMYFUNCTION("IFERROR(REGEXEXTRACT($K5,""LING.*?S\((\d+/\d+)\)""),"""")
"),"2/2")</f>
        <v>2/2</v>
      </c>
      <c r="T5" s="6" t="str">
        <f>IFERROR(__xludf.DUMMYFUNCTION("IFERROR(REGEXEXTRACT($K5,""LING[^|]*C\(([0-9]+/[0-9]+)\)""),"""")
"),"0/1")</f>
        <v>0/1</v>
      </c>
      <c r="U5" s="6" t="b">
        <f>IFERROR(__xludf.DUMMYFUNCTION("AND(
  VALUE(INDEX(SPLIT(L5,""/""),1))=VALUE(INDEX(SPLIT(L5,""/""),2)),
  VALUE(INDEX(SPLIT(O5,""/""),1))=VALUE(INDEX(SPLIT(O5,""/""),2)),
  VALUE(INDEX(SPLIT(R5,""/""),1))=VALUE(INDEX(SPLIT(R5,""/""),2))
)
"),TRUE)</f>
        <v>1</v>
      </c>
      <c r="V5" s="6" t="str">
        <f>IFERROR(__xludf.DUMMYFUNCTION("IF($U5=TRUE,""OK"",
 TEXTJOIN("" | "",TRUE,
  IF(VALUE(INDEX(SPLIT($L5,""/""),2))-VALUE(INDEX(SPLIT($L5,""/""),1))&gt;0,
    ""DOM faltam ""&amp;(VALUE(INDEX(SPLIT($L5,""/""),2))-VALUE(INDEX(SPLIT($L5,""/""),1))),
  """"),
  IF(VALUE(INDEX(SPLIT($O5,""/""),2))-V"&amp;"ALUE(INDEX(SPLIT($O5,""/""),1))&gt;0,
    ""ECO faltam ""&amp;(VALUE(INDEX(SPLIT($O5,""/""),2))-VALUE(INDEX(SPLIT($O5,""/""),1))),
  """"),
  IF(VALUE(INDEX(SPLIT($R5,""/""),2))-VALUE(INDEX(SPLIT($R5,""/""),1))&gt;0,
    ""LING faltam ""&amp;(VALUE(INDEX(SPLIT($R5,""/"&amp;"""),2))-VALUE(INDEX(SPLIT($R5,""/""),1))),
  """")
 )
)
"),"OK")</f>
        <v>OK</v>
      </c>
      <c r="W5" s="6">
        <f>IFERROR(__xludf.DUMMYFUNCTION(" (VALUE(INDEX(SPLIT(L5,""/""),2))-VALUE(INDEX(SPLIT(L5,""/""),1)))
+ (VALUE(INDEX(SPLIT(O5,""/""),2))-VALUE(INDEX(SPLIT(O5,""/""),1)))
+ (VALUE(INDEX(SPLIT(R5,""/""),2))-VALUE(INDEX(SPLIT(R5,""/""),1)))
"),0.0)</f>
        <v>0</v>
      </c>
      <c r="X5" s="6" t="s">
        <v>313</v>
      </c>
      <c r="Y5" s="6" t="s">
        <v>314</v>
      </c>
      <c r="Z5" s="6" t="s">
        <v>315</v>
      </c>
      <c r="AA5" s="6" t="s">
        <v>316</v>
      </c>
    </row>
    <row r="6" ht="16.5" customHeight="1">
      <c r="A6" s="40"/>
      <c r="B6" s="41"/>
      <c r="C6" s="6" t="s">
        <v>298</v>
      </c>
      <c r="D6" s="42" t="s">
        <v>190</v>
      </c>
      <c r="E6" s="42" t="s">
        <v>201</v>
      </c>
      <c r="F6" s="42" t="s">
        <v>244</v>
      </c>
      <c r="G6" s="42" t="s">
        <v>189</v>
      </c>
      <c r="H6" s="42">
        <v>2.0</v>
      </c>
      <c r="I6" s="42">
        <v>3.0</v>
      </c>
      <c r="J6" s="45"/>
      <c r="K6" s="6" t="s">
        <v>317</v>
      </c>
      <c r="L6" s="6" t="str">
        <f>IFERROR(__xludf.DUMMYFUNCTION("IFERROR(REGEXEXTRACT($K6,""DOM\s*M\((\d+/\d+)\)""),"""")
"),"1/2")</f>
        <v>1/2</v>
      </c>
      <c r="M6" s="6" t="str">
        <f>IFERROR(__xludf.DUMMYFUNCTION("IFERROR(REGEXEXTRACT($K6,""DOM.*?S\((\d+/\d+)\)""),"""")
"),"0/1")</f>
        <v>0/1</v>
      </c>
      <c r="N6" s="6" t="str">
        <f>IFERROR(__xludf.DUMMYFUNCTION("IFERROR(REGEXEXTRACT($K6,""DOM.*?C\((\d+/\d+)\)""),"""")
"),"1/1")</f>
        <v>1/1</v>
      </c>
      <c r="O6" s="6" t="str">
        <f>IFERROR(__xludf.DUMMYFUNCTION("IFERROR(REGEXEXTRACT($K6,""ECO\s*M\((\d+/\d+)\)""),"""")
"),"0/1")</f>
        <v>0/1</v>
      </c>
      <c r="P6" s="6" t="str">
        <f>IFERROR(__xludf.DUMMYFUNCTION("IFERROR(REGEXEXTRACT($K6,""ECO.*?S\((\d+/\d+)\)""),"""")
"),"1/1")</f>
        <v>1/1</v>
      </c>
      <c r="Q6" s="6" t="str">
        <f>IFERROR(__xludf.DUMMYFUNCTION("IFERROR(REGEXEXTRACT($K6,""ECO.*?C\((\d+/\d+)\)""),"""")
"),"0/1")</f>
        <v>0/1</v>
      </c>
      <c r="R6" s="6" t="str">
        <f>IFERROR(__xludf.DUMMYFUNCTION("IFERROR(REGEXEXTRACT($K6,""LING\s*M\((\d+/\d+)\)""),"""")
"),"0/1")</f>
        <v>0/1</v>
      </c>
      <c r="S6" s="6" t="str">
        <f>IFERROR(__xludf.DUMMYFUNCTION("IFERROR(REGEXEXTRACT($K6,""LING.*?S\((\d+/\d+)\)""),"""")
"),"1/2")</f>
        <v>1/2</v>
      </c>
      <c r="T6" s="6" t="str">
        <f>IFERROR(__xludf.DUMMYFUNCTION("IFERROR(REGEXEXTRACT($K6,""LING[^|]*C\(([0-9]+/[0-9]+)\)""),"""")
"),"0/1")</f>
        <v>0/1</v>
      </c>
      <c r="U6" s="6" t="b">
        <f>IFERROR(__xludf.DUMMYFUNCTION("AND(
  VALUE(INDEX(SPLIT(L6,""/""),1))=VALUE(INDEX(SPLIT(L6,""/""),2)),
  VALUE(INDEX(SPLIT(O6,""/""),1))=VALUE(INDEX(SPLIT(O6,""/""),2)),
  VALUE(INDEX(SPLIT(R6,""/""),1))=VALUE(INDEX(SPLIT(R6,""/""),2))
)
"),FALSE)</f>
        <v>0</v>
      </c>
      <c r="V6" s="6" t="str">
        <f>IFERROR(__xludf.DUMMYFUNCTION("IF($U6=TRUE,""OK"",
 TEXTJOIN("" | "",TRUE,
  IF(VALUE(INDEX(SPLIT($L6,""/""),2))-VALUE(INDEX(SPLIT($L6,""/""),1))&gt;0,
    ""DOM faltam ""&amp;(VALUE(INDEX(SPLIT($L6,""/""),2))-VALUE(INDEX(SPLIT($L6,""/""),1))),
  """"),
  IF(VALUE(INDEX(SPLIT($O6,""/""),2))-V"&amp;"ALUE(INDEX(SPLIT($O6,""/""),1))&gt;0,
    ""ECO faltam ""&amp;(VALUE(INDEX(SPLIT($O6,""/""),2))-VALUE(INDEX(SPLIT($O6,""/""),1))),
  """"),
  IF(VALUE(INDEX(SPLIT($R6,""/""),2))-VALUE(INDEX(SPLIT($R6,""/""),1))&gt;0,
    ""LING faltam ""&amp;(VALUE(INDEX(SPLIT($R6,""/"&amp;"""),2))-VALUE(INDEX(SPLIT($R6,""/""),1))),
  """")
 )
)
"),"DOM faltam 1 | ECO faltam 1 | LING faltam 1")</f>
        <v>DOM faltam 1 | ECO faltam 1 | LING faltam 1</v>
      </c>
      <c r="W6" s="6">
        <f>IFERROR(__xludf.DUMMYFUNCTION(" (VALUE(INDEX(SPLIT(L6,""/""),2))-VALUE(INDEX(SPLIT(L6,""/""),1)))
+ (VALUE(INDEX(SPLIT(O6,""/""),2))-VALUE(INDEX(SPLIT(O6,""/""),1)))
+ (VALUE(INDEX(SPLIT(R6,""/""),2))-VALUE(INDEX(SPLIT(R6,""/""),1)))
"),3.0)</f>
        <v>3</v>
      </c>
      <c r="X6" s="6" t="s">
        <v>320</v>
      </c>
      <c r="Y6" s="6" t="s">
        <v>321</v>
      </c>
      <c r="Z6" s="6" t="s">
        <v>323</v>
      </c>
      <c r="AA6" s="6" t="s">
        <v>324</v>
      </c>
    </row>
    <row r="7" ht="15.75" customHeight="1">
      <c r="A7" s="43"/>
      <c r="J7" s="46"/>
      <c r="L7" s="6" t="str">
        <f>IFERROR(__xludf.DUMMYFUNCTION("IFERROR(REGEXEXTRACT($K7,""DOM\s*M\((\d+/\d+)\)""),"""")
"),"")</f>
        <v/>
      </c>
      <c r="M7" s="6" t="str">
        <f>IFERROR(__xludf.DUMMYFUNCTION("IFERROR(REGEXEXTRACT($K7,""DOM.*?S\((\d+/\d+)\)""),"""")
"),"")</f>
        <v/>
      </c>
      <c r="N7" s="6" t="str">
        <f>IFERROR(__xludf.DUMMYFUNCTION("IFERROR(REGEXEXTRACT($K7,""DOM.*?C\((\d+/\d+)\)""),"""")
"),"")</f>
        <v/>
      </c>
      <c r="O7" s="6" t="str">
        <f>IFERROR(__xludf.DUMMYFUNCTION("IFERROR(REGEXEXTRACT($K7,""ECO\s*M\((\d+/\d+)\)""),"""")
"),"")</f>
        <v/>
      </c>
      <c r="P7" s="6" t="str">
        <f>IFERROR(__xludf.DUMMYFUNCTION("IFERROR(REGEXEXTRACT($K7,""ECO.*?S\((\d+/\d+)\)""),"""")
"),"")</f>
        <v/>
      </c>
      <c r="Q7" s="6" t="str">
        <f>IFERROR(__xludf.DUMMYFUNCTION("IFERROR(REGEXEXTRACT($K7,""ECO.*?C\((\d+/\d+)\)""),"""")
"),"")</f>
        <v/>
      </c>
      <c r="R7" s="6" t="str">
        <f>IFERROR(__xludf.DUMMYFUNCTION("IFERROR(REGEXEXTRACT($K7,""LING\s*M\((\d+/\d+)\)""),"""")
"),"")</f>
        <v/>
      </c>
      <c r="S7" s="6" t="str">
        <f>IFERROR(__xludf.DUMMYFUNCTION("IFERROR(REGEXEXTRACT($K7,""LING.*?S\((\d+/\d+)\)""),"""")
"),"")</f>
        <v/>
      </c>
      <c r="T7" s="6" t="str">
        <f>IFERROR(__xludf.DUMMYFUNCTION("IFERROR(REGEXEXTRACT($K7,""LING[^|]*C\(([0-9]+/[0-9]+)\)""),"""")
"),"")</f>
        <v/>
      </c>
    </row>
    <row r="8" ht="15.75" customHeight="1">
      <c r="A8" s="25" t="s">
        <v>104</v>
      </c>
      <c r="B8" s="29" t="str">
        <f>IFERROR(VLOOKUP(A8,Projetos!$A$2:$C$7,2,FALSE),"")
</f>
        <v>Hybrid Mobile App with Web Panel</v>
      </c>
      <c r="C8" s="6" t="s">
        <v>299</v>
      </c>
      <c r="D8" s="30" t="s">
        <v>228</v>
      </c>
      <c r="E8" s="30" t="s">
        <v>73</v>
      </c>
      <c r="F8" s="30" t="s">
        <v>212</v>
      </c>
      <c r="G8" s="30" t="s">
        <v>182</v>
      </c>
      <c r="H8" s="30">
        <v>1.0</v>
      </c>
      <c r="I8" s="30">
        <v>1.0</v>
      </c>
      <c r="J8" s="54"/>
      <c r="K8" s="6" t="s">
        <v>339</v>
      </c>
      <c r="L8" s="6" t="str">
        <f>IFERROR(__xludf.DUMMYFUNCTION("IFERROR(REGEXEXTRACT($K8,""DOM\s*M\((\d+/\d+)\)""),"""")
"),"1/1")</f>
        <v>1/1</v>
      </c>
      <c r="M8" s="6" t="str">
        <f>IFERROR(__xludf.DUMMYFUNCTION("IFERROR(REGEXEXTRACT($K8,""DOM.*?S\((\d+/\d+)\)""),"""")
"),"1/1")</f>
        <v>1/1</v>
      </c>
      <c r="N8" s="6" t="str">
        <f>IFERROR(__xludf.DUMMYFUNCTION("IFERROR(REGEXEXTRACT($K8,""DOM.*?C\((\d+/\d+)\)""),"""")
"),"0/1")</f>
        <v>0/1</v>
      </c>
      <c r="O8" s="6" t="str">
        <f>IFERROR(__xludf.DUMMYFUNCTION("IFERROR(REGEXEXTRACT($K8,""ECO\s*M\((\d+/\d+)\)""),"""")
"),"1/2")</f>
        <v>1/2</v>
      </c>
      <c r="P8" s="6" t="str">
        <f>IFERROR(__xludf.DUMMYFUNCTION("IFERROR(REGEXEXTRACT($K8,""ECO.*?S\((\d+/\d+)\)""),"""")
"),"0/1")</f>
        <v>0/1</v>
      </c>
      <c r="Q8" s="6" t="str">
        <f>IFERROR(__xludf.DUMMYFUNCTION("IFERROR(REGEXEXTRACT($K8,""ECO.*?C\((\d+/\d+)\)""),"""")
"),"1/1")</f>
        <v>1/1</v>
      </c>
      <c r="R8" s="6" t="str">
        <f>IFERROR(__xludf.DUMMYFUNCTION("IFERROR(REGEXEXTRACT($K8,""LING\s*M\((\d+/\d+)\)""),"""")
"),"1/2")</f>
        <v>1/2</v>
      </c>
      <c r="S8" s="6" t="str">
        <f>IFERROR(__xludf.DUMMYFUNCTION("IFERROR(REGEXEXTRACT($K8,""LING.*?S\((\d+/\d+)\)""),"""")
"),"1/2")</f>
        <v>1/2</v>
      </c>
      <c r="T8" s="6" t="str">
        <f>IFERROR(__xludf.DUMMYFUNCTION("IFERROR(REGEXEXTRACT($K8,""LING[^|]*C\(([0-9]+/[0-9]+)\)""),"""")
"),"1/2")</f>
        <v>1/2</v>
      </c>
      <c r="U8" s="6" t="b">
        <f>IFERROR(__xludf.DUMMYFUNCTION("AND(
  VALUE(INDEX(SPLIT(L8,""/""),1))=VALUE(INDEX(SPLIT(L8,""/""),2)),
  VALUE(INDEX(SPLIT(O8,""/""),1))=VALUE(INDEX(SPLIT(O8,""/""),2)),
  VALUE(INDEX(SPLIT(R8,""/""),1))=VALUE(INDEX(SPLIT(R8,""/""),2))
)
"),FALSE)</f>
        <v>0</v>
      </c>
      <c r="V8" s="6" t="str">
        <f>IFERROR(__xludf.DUMMYFUNCTION("IF($U8=TRUE,""OK"",
 TEXTJOIN("" | "",TRUE,
  IF(VALUE(INDEX(SPLIT($L8,""/""),2))-VALUE(INDEX(SPLIT($L8,""/""),1))&gt;0,
    ""DOM faltam ""&amp;(VALUE(INDEX(SPLIT($L8,""/""),2))-VALUE(INDEX(SPLIT($L8,""/""),1))),
  """"),
  IF(VALUE(INDEX(SPLIT($O8,""/""),2))-V"&amp;"ALUE(INDEX(SPLIT($O8,""/""),1))&gt;0,
    ""ECO faltam ""&amp;(VALUE(INDEX(SPLIT($O8,""/""),2))-VALUE(INDEX(SPLIT($O8,""/""),1))),
  """"),
  IF(VALUE(INDEX(SPLIT($R8,""/""),2))-VALUE(INDEX(SPLIT($R8,""/""),1))&gt;0,
    ""LING faltam ""&amp;(VALUE(INDEX(SPLIT($R8,""/"&amp;"""),2))-VALUE(INDEX(SPLIT($R8,""/""),1))),
  """")
 )
)
"),"ECO faltam 1 | LING faltam 1")</f>
        <v>ECO faltam 1 | LING faltam 1</v>
      </c>
      <c r="W8" s="6">
        <f>IFERROR(__xludf.DUMMYFUNCTION(" (VALUE(INDEX(SPLIT(L8,""/""),2))-VALUE(INDEX(SPLIT(L8,""/""),1)))
+ (VALUE(INDEX(SPLIT(O8,""/""),2))-VALUE(INDEX(SPLIT(O8,""/""),1)))
+ (VALUE(INDEX(SPLIT(R8,""/""),2))-VALUE(INDEX(SPLIT(R8,""/""),1)))
"),2.0)</f>
        <v>2</v>
      </c>
      <c r="X8" s="6" t="s">
        <v>350</v>
      </c>
      <c r="Y8" s="6" t="s">
        <v>353</v>
      </c>
      <c r="Z8" s="6" t="s">
        <v>354</v>
      </c>
      <c r="AA8" s="6" t="s">
        <v>355</v>
      </c>
    </row>
    <row r="9" ht="15.0" customHeight="1">
      <c r="A9" s="34"/>
      <c r="B9" s="35" t="str">
        <f>IFERROR(
"DOM  M["&amp;VLOOKUP($A8,Projetos!$A:$L,4,FALSE)&amp;"] S["&amp;VLOOKUP($A8,Projetos!$A:$L,5,FALSE)&amp;"] C["&amp;VLOOKUP($A8,Projetos!$A:$L,6,FALSE)&amp;"]"&amp;CHAR(10)&amp;
"ECO  M["&amp;VLOOKUP($A8,Projetos!$A:$L,7,FALSE)&amp;"] S["&amp;VLOOKUP($A8,Projetos!$A:$L,8,FALSE)&amp;"] C["&amp;VLOOKUP($A8,Projetos!$A:$L,9,FALSE)&amp;"]"&amp;CHAR(10)&amp;
"LING M["&amp;VLOOKUP($A8,Projetos!$A:$L,10,FALSE)&amp;"] S["&amp;VLOOKUP($A8,Projetos!$A:$L,11,FALSE)&amp;"] C["&amp;VLOOKUP($A8,Projetos!$A:$L,12,FALSE)&amp;"]"
,"")
</f>
        <v>DOM  M[Mobile] S[Web] C[Cloud]
ECO  M[Android, iOS/iPadOS] S[React] C[.NET]
LING M[Kotlin, Swift] S[JavaScript, TypeScript] C[Java, C#]</v>
      </c>
      <c r="C9" s="6" t="s">
        <v>302</v>
      </c>
      <c r="D9" s="6" t="s">
        <v>177</v>
      </c>
      <c r="E9" s="6" t="s">
        <v>204</v>
      </c>
      <c r="F9" s="6" t="s">
        <v>231</v>
      </c>
      <c r="G9" s="6" t="s">
        <v>234</v>
      </c>
      <c r="H9" s="6">
        <v>2.0</v>
      </c>
      <c r="I9" s="6">
        <v>1.0</v>
      </c>
      <c r="J9" s="39"/>
      <c r="K9" s="6" t="s">
        <v>392</v>
      </c>
      <c r="L9" s="6" t="str">
        <f>IFERROR(__xludf.DUMMYFUNCTION("IFERROR(REGEXEXTRACT($K9,""DOM\s*M\((\d+/\d+)\)""),"""")
"),"0/1")</f>
        <v>0/1</v>
      </c>
      <c r="M9" s="6" t="str">
        <f>IFERROR(__xludf.DUMMYFUNCTION("IFERROR(REGEXEXTRACT($K9,""DOM.*?S\((\d+/\d+)\)""),"""")
"),"1/1")</f>
        <v>1/1</v>
      </c>
      <c r="N9" s="6" t="str">
        <f>IFERROR(__xludf.DUMMYFUNCTION("IFERROR(REGEXEXTRACT($K9,""DOM.*?C\((\d+/\d+)\)""),"""")
"),"0/1")</f>
        <v>0/1</v>
      </c>
      <c r="O9" s="6" t="str">
        <f>IFERROR(__xludf.DUMMYFUNCTION("IFERROR(REGEXEXTRACT($K9,""ECO\s*M\((\d+/\d+)\)""),"""")
"),"0/2")</f>
        <v>0/2</v>
      </c>
      <c r="P9" s="6" t="str">
        <f>IFERROR(__xludf.DUMMYFUNCTION("IFERROR(REGEXEXTRACT($K9,""ECO.*?S\((\d+/\d+)\)""),"""")
"),"1/1")</f>
        <v>1/1</v>
      </c>
      <c r="Q9" s="6" t="str">
        <f>IFERROR(__xludf.DUMMYFUNCTION("IFERROR(REGEXEXTRACT($K9,""ECO.*?C\((\d+/\d+)\)""),"""")
"),"0/1")</f>
        <v>0/1</v>
      </c>
      <c r="R9" s="6" t="str">
        <f>IFERROR(__xludf.DUMMYFUNCTION("IFERROR(REGEXEXTRACT($K9,""LING\s*M\((\d+/\d+)\)""),"""")
"),"0/2")</f>
        <v>0/2</v>
      </c>
      <c r="S9" s="6" t="str">
        <f>IFERROR(__xludf.DUMMYFUNCTION("IFERROR(REGEXEXTRACT($K9,""LING.*?S\((\d+/\d+)\)""),"""")
"),"2/2")</f>
        <v>2/2</v>
      </c>
      <c r="T9" s="6" t="str">
        <f>IFERROR(__xludf.DUMMYFUNCTION("IFERROR(REGEXEXTRACT($K9,""LING[^|]*C\(([0-9]+/[0-9]+)\)""),"""")
"),"1/2")</f>
        <v>1/2</v>
      </c>
      <c r="U9" s="6" t="b">
        <f>IFERROR(__xludf.DUMMYFUNCTION("AND(
  VALUE(INDEX(SPLIT(L9,""/""),1))=VALUE(INDEX(SPLIT(L9,""/""),2)),
  VALUE(INDEX(SPLIT(O9,""/""),1))=VALUE(INDEX(SPLIT(O9,""/""),2)),
  VALUE(INDEX(SPLIT(R9,""/""),1))=VALUE(INDEX(SPLIT(R9,""/""),2))
)
"),FALSE)</f>
        <v>0</v>
      </c>
      <c r="V9" s="6" t="str">
        <f>IFERROR(__xludf.DUMMYFUNCTION("IF($U9=TRUE,""OK"",
 TEXTJOIN("" | "",TRUE,
  IF(VALUE(INDEX(SPLIT($L9,""/""),2))-VALUE(INDEX(SPLIT($L9,""/""),1))&gt;0,
    ""DOM faltam ""&amp;(VALUE(INDEX(SPLIT($L9,""/""),2))-VALUE(INDEX(SPLIT($L9,""/""),1))),
  """"),
  IF(VALUE(INDEX(SPLIT($O9,""/""),2))-V"&amp;"ALUE(INDEX(SPLIT($O9,""/""),1))&gt;0,
    ""ECO faltam ""&amp;(VALUE(INDEX(SPLIT($O9,""/""),2))-VALUE(INDEX(SPLIT($O9,""/""),1))),
  """"),
  IF(VALUE(INDEX(SPLIT($R9,""/""),2))-VALUE(INDEX(SPLIT($R9,""/""),1))&gt;0,
    ""LING faltam ""&amp;(VALUE(INDEX(SPLIT($R9,""/"&amp;"""),2))-VALUE(INDEX(SPLIT($R9,""/""),1))),
  """")
 )
)
"),"DOM faltam 1 | ECO faltam 2 | LING faltam 2")</f>
        <v>DOM faltam 1 | ECO faltam 2 | LING faltam 2</v>
      </c>
      <c r="W9" s="6">
        <f>IFERROR(__xludf.DUMMYFUNCTION(" (VALUE(INDEX(SPLIT(L9,""/""),2))-VALUE(INDEX(SPLIT(L9,""/""),1)))
+ (VALUE(INDEX(SPLIT(O9,""/""),2))-VALUE(INDEX(SPLIT(O9,""/""),1)))
+ (VALUE(INDEX(SPLIT(R9,""/""),2))-VALUE(INDEX(SPLIT(R9,""/""),1)))
"),5.0)</f>
        <v>5</v>
      </c>
      <c r="X9" s="6" t="s">
        <v>419</v>
      </c>
      <c r="Y9" s="6" t="s">
        <v>422</v>
      </c>
      <c r="Z9" s="6" t="s">
        <v>424</v>
      </c>
      <c r="AA9" s="6" t="s">
        <v>425</v>
      </c>
    </row>
    <row r="10" ht="15.75" customHeight="1">
      <c r="A10" s="34"/>
      <c r="C10" s="6" t="s">
        <v>303</v>
      </c>
      <c r="D10" s="6" t="s">
        <v>92</v>
      </c>
      <c r="E10" s="6" t="s">
        <v>96</v>
      </c>
      <c r="F10" s="6" t="s">
        <v>202</v>
      </c>
      <c r="G10" s="6" t="s">
        <v>143</v>
      </c>
      <c r="H10" s="6">
        <v>3.0</v>
      </c>
      <c r="I10" s="6">
        <v>2.0</v>
      </c>
      <c r="J10" s="39"/>
      <c r="K10" s="6" t="s">
        <v>429</v>
      </c>
      <c r="L10" s="6" t="str">
        <f>IFERROR(__xludf.DUMMYFUNCTION("IFERROR(REGEXEXTRACT($K10,""DOM\s*M\((\d+/\d+)\)""),"""")
"),"1/1")</f>
        <v>1/1</v>
      </c>
      <c r="M10" s="6" t="str">
        <f>IFERROR(__xludf.DUMMYFUNCTION("IFERROR(REGEXEXTRACT($K10,""DOM.*?S\((\d+/\d+)\)""),"""")
"),"1/1")</f>
        <v>1/1</v>
      </c>
      <c r="N10" s="6" t="str">
        <f>IFERROR(__xludf.DUMMYFUNCTION("IFERROR(REGEXEXTRACT($K10,""DOM.*?C\((\d+/\d+)\)""),"""")
"),"0/1")</f>
        <v>0/1</v>
      </c>
      <c r="O10" s="6" t="str">
        <f>IFERROR(__xludf.DUMMYFUNCTION("IFERROR(REGEXEXTRACT($K10,""ECO\s*M\((\d+/\d+)\)""),"""")
"),"1/2")</f>
        <v>1/2</v>
      </c>
      <c r="P10" s="6" t="str">
        <f>IFERROR(__xludf.DUMMYFUNCTION("IFERROR(REGEXEXTRACT($K10,""ECO.*?S\((\d+/\d+)\)""),"""")
"),"0/1")</f>
        <v>0/1</v>
      </c>
      <c r="Q10" s="6" t="str">
        <f>IFERROR(__xludf.DUMMYFUNCTION("IFERROR(REGEXEXTRACT($K10,""ECO.*?C\((\d+/\d+)\)""),"""")
"),"1/1")</f>
        <v>1/1</v>
      </c>
      <c r="R10" s="6" t="str">
        <f>IFERROR(__xludf.DUMMYFUNCTION("IFERROR(REGEXEXTRACT($K10,""LING\s*M\((\d+/\d+)\)""),"""")
"),"1/2")</f>
        <v>1/2</v>
      </c>
      <c r="S10" s="6" t="str">
        <f>IFERROR(__xludf.DUMMYFUNCTION("IFERROR(REGEXEXTRACT($K10,""LING.*?S\((\d+/\d+)\)""),"""")
"),"1/2")</f>
        <v>1/2</v>
      </c>
      <c r="T10" s="6" t="str">
        <f>IFERROR(__xludf.DUMMYFUNCTION("IFERROR(REGEXEXTRACT($K10,""LING[^|]*C\(([0-9]+/[0-9]+)\)""),"""")
"),"2/2")</f>
        <v>2/2</v>
      </c>
      <c r="U10" s="6" t="b">
        <f>IFERROR(__xludf.DUMMYFUNCTION("AND(
  VALUE(INDEX(SPLIT(L10,""/""),1))=VALUE(INDEX(SPLIT(L10,""/""),2)),
  VALUE(INDEX(SPLIT(O10,""/""),1))=VALUE(INDEX(SPLIT(O10,""/""),2)),
  VALUE(INDEX(SPLIT(R10,""/""),1))=VALUE(INDEX(SPLIT(R10,""/""),2))
)
"),FALSE)</f>
        <v>0</v>
      </c>
      <c r="V10" s="6" t="str">
        <f>IFERROR(__xludf.DUMMYFUNCTION("IF($U10=TRUE,""OK"",
 TEXTJOIN("" | "",TRUE,
  IF(VALUE(INDEX(SPLIT($L10,""/""),2))-VALUE(INDEX(SPLIT($L10,""/""),1))&gt;0,
    ""DOM faltam ""&amp;(VALUE(INDEX(SPLIT($L10,""/""),2))-VALUE(INDEX(SPLIT($L10,""/""),1))),
  """"),
  IF(VALUE(INDEX(SPLIT($O10,""/"")"&amp;",2))-VALUE(INDEX(SPLIT($O10,""/""),1))&gt;0,
    ""ECO faltam ""&amp;(VALUE(INDEX(SPLIT($O10,""/""),2))-VALUE(INDEX(SPLIT($O10,""/""),1))),
  """"),
  IF(VALUE(INDEX(SPLIT($R10,""/""),2))-VALUE(INDEX(SPLIT($R10,""/""),1))&gt;0,
    ""LING faltam ""&amp;(VALUE(INDEX(SPL"&amp;"IT($R10,""/""),2))-VALUE(INDEX(SPLIT($R10,""/""),1))),
  """")
 )
)
"),"ECO faltam 1 | LING faltam 1")</f>
        <v>ECO faltam 1 | LING faltam 1</v>
      </c>
      <c r="W10" s="6">
        <f>IFERROR(__xludf.DUMMYFUNCTION(" (VALUE(INDEX(SPLIT(L10,""/""),2))-VALUE(INDEX(SPLIT(L10,""/""),1)))
+ (VALUE(INDEX(SPLIT(O10,""/""),2))-VALUE(INDEX(SPLIT(O10,""/""),1)))
+ (VALUE(INDEX(SPLIT(R10,""/""),2))-VALUE(INDEX(SPLIT(R10,""/""),1)))
"),2.0)</f>
        <v>2</v>
      </c>
      <c r="X10" s="6" t="s">
        <v>432</v>
      </c>
      <c r="Y10" s="6" t="s">
        <v>433</v>
      </c>
      <c r="Z10" s="6" t="s">
        <v>434</v>
      </c>
      <c r="AA10" s="6" t="s">
        <v>435</v>
      </c>
    </row>
    <row r="11" ht="15.75" customHeight="1">
      <c r="A11" s="34"/>
      <c r="C11" s="6" t="s">
        <v>308</v>
      </c>
      <c r="D11" s="6" t="s">
        <v>229</v>
      </c>
      <c r="E11" s="6" t="s">
        <v>174</v>
      </c>
      <c r="F11" s="6" t="s">
        <v>234</v>
      </c>
      <c r="G11" s="6" t="s">
        <v>15</v>
      </c>
      <c r="H11" s="6">
        <v>4.0</v>
      </c>
      <c r="I11" s="6">
        <v>4.0</v>
      </c>
      <c r="J11" s="39"/>
      <c r="K11" s="6" t="s">
        <v>436</v>
      </c>
      <c r="L11" s="6" t="str">
        <f>IFERROR(__xludf.DUMMYFUNCTION("IFERROR(REGEXEXTRACT($K11,""DOM\s*M\((\d+/\d+)\)""),"""")
"),"1/1")</f>
        <v>1/1</v>
      </c>
      <c r="M11" s="6" t="str">
        <f>IFERROR(__xludf.DUMMYFUNCTION("IFERROR(REGEXEXTRACT($K11,""DOM.*?S\((\d+/\d+)\)""),"""")
"),"1/1")</f>
        <v>1/1</v>
      </c>
      <c r="N11" s="6" t="str">
        <f>IFERROR(__xludf.DUMMYFUNCTION("IFERROR(REGEXEXTRACT($K11,""DOM.*?C\((\d+/\d+)\)""),"""")
"),"1/1")</f>
        <v>1/1</v>
      </c>
      <c r="O11" s="6" t="str">
        <f>IFERROR(__xludf.DUMMYFUNCTION("IFERROR(REGEXEXTRACT($K11,""ECO\s*M\((\d+/\d+)\)""),"""")
"),"1/2")</f>
        <v>1/2</v>
      </c>
      <c r="P11" s="6" t="str">
        <f>IFERROR(__xludf.DUMMYFUNCTION("IFERROR(REGEXEXTRACT($K11,""ECO.*?S\((\d+/\d+)\)""),"""")
"),"1/1")</f>
        <v>1/1</v>
      </c>
      <c r="Q11" s="6" t="str">
        <f>IFERROR(__xludf.DUMMYFUNCTION("IFERROR(REGEXEXTRACT($K11,""ECO.*?C\((\d+/\d+)\)""),"""")
"),"0/1")</f>
        <v>0/1</v>
      </c>
      <c r="R11" s="6" t="str">
        <f>IFERROR(__xludf.DUMMYFUNCTION("IFERROR(REGEXEXTRACT($K11,""LING\s*M\((\d+/\d+)\)""),"""")
"),"1/2")</f>
        <v>1/2</v>
      </c>
      <c r="S11" s="6" t="str">
        <f>IFERROR(__xludf.DUMMYFUNCTION("IFERROR(REGEXEXTRACT($K11,""LING.*?S\((\d+/\d+)\)""),"""")
"),"1/2")</f>
        <v>1/2</v>
      </c>
      <c r="T11" s="6" t="str">
        <f>IFERROR(__xludf.DUMMYFUNCTION("IFERROR(REGEXEXTRACT($K11,""LING[^|]*C\(([0-9]+/[0-9]+)\)""),"""")
"),"0/2")</f>
        <v>0/2</v>
      </c>
      <c r="U11" s="6" t="b">
        <f>IFERROR(__xludf.DUMMYFUNCTION("AND(
  VALUE(INDEX(SPLIT(L11,""/""),1))=VALUE(INDEX(SPLIT(L11,""/""),2)),
  VALUE(INDEX(SPLIT(O11,""/""),1))=VALUE(INDEX(SPLIT(O11,""/""),2)),
  VALUE(INDEX(SPLIT(R11,""/""),1))=VALUE(INDEX(SPLIT(R11,""/""),2))
)
"),FALSE)</f>
        <v>0</v>
      </c>
      <c r="V11" s="6" t="str">
        <f>IFERROR(__xludf.DUMMYFUNCTION("IF($U11=TRUE,""OK"",
 TEXTJOIN("" | "",TRUE,
  IF(VALUE(INDEX(SPLIT($L11,""/""),2))-VALUE(INDEX(SPLIT($L11,""/""),1))&gt;0,
    ""DOM faltam ""&amp;(VALUE(INDEX(SPLIT($L11,""/""),2))-VALUE(INDEX(SPLIT($L11,""/""),1))),
  """"),
  IF(VALUE(INDEX(SPLIT($O11,""/"")"&amp;",2))-VALUE(INDEX(SPLIT($O11,""/""),1))&gt;0,
    ""ECO faltam ""&amp;(VALUE(INDEX(SPLIT($O11,""/""),2))-VALUE(INDEX(SPLIT($O11,""/""),1))),
  """"),
  IF(VALUE(INDEX(SPLIT($R11,""/""),2))-VALUE(INDEX(SPLIT($R11,""/""),1))&gt;0,
    ""LING faltam ""&amp;(VALUE(INDEX(SPL"&amp;"IT($R11,""/""),2))-VALUE(INDEX(SPLIT($R11,""/""),1))),
  """")
 )
)
"),"ECO faltam 1 | LING faltam 1")</f>
        <v>ECO faltam 1 | LING faltam 1</v>
      </c>
      <c r="W11" s="6">
        <f>IFERROR(__xludf.DUMMYFUNCTION(" (VALUE(INDEX(SPLIT(L11,""/""),2))-VALUE(INDEX(SPLIT(L11,""/""),1)))
+ (VALUE(INDEX(SPLIT(O11,""/""),2))-VALUE(INDEX(SPLIT(O11,""/""),1)))
+ (VALUE(INDEX(SPLIT(R11,""/""),2))-VALUE(INDEX(SPLIT(R11,""/""),1)))
"),2.0)</f>
        <v>2</v>
      </c>
      <c r="X11" s="6" t="s">
        <v>437</v>
      </c>
      <c r="Y11" s="6" t="s">
        <v>438</v>
      </c>
      <c r="Z11" s="6" t="s">
        <v>439</v>
      </c>
      <c r="AA11" s="6" t="s">
        <v>440</v>
      </c>
    </row>
    <row r="12" ht="15.75" customHeight="1">
      <c r="A12" s="40"/>
      <c r="B12" s="41"/>
      <c r="C12" s="6" t="s">
        <v>311</v>
      </c>
      <c r="D12" s="42" t="s">
        <v>90</v>
      </c>
      <c r="E12" s="42" t="s">
        <v>196</v>
      </c>
      <c r="F12" s="42" t="s">
        <v>246</v>
      </c>
      <c r="G12" s="42" t="s">
        <v>68</v>
      </c>
      <c r="H12" s="42">
        <v>3.0</v>
      </c>
      <c r="I12" s="42">
        <v>4.0</v>
      </c>
      <c r="J12" s="45"/>
      <c r="K12" s="6" t="s">
        <v>441</v>
      </c>
      <c r="L12" s="6" t="str">
        <f>IFERROR(__xludf.DUMMYFUNCTION("IFERROR(REGEXEXTRACT($K12,""DOM\s*M\((\d+/\d+)\)""),"""")
"),"1/1")</f>
        <v>1/1</v>
      </c>
      <c r="M12" s="6" t="str">
        <f>IFERROR(__xludf.DUMMYFUNCTION("IFERROR(REGEXEXTRACT($K12,""DOM.*?S\((\d+/\d+)\)""),"""")
"),"0/1")</f>
        <v>0/1</v>
      </c>
      <c r="N12" s="6" t="str">
        <f>IFERROR(__xludf.DUMMYFUNCTION("IFERROR(REGEXEXTRACT($K12,""DOM.*?C\((\d+/\d+)\)""),"""")
"),"0/1")</f>
        <v>0/1</v>
      </c>
      <c r="O12" s="6" t="str">
        <f>IFERROR(__xludf.DUMMYFUNCTION("IFERROR(REGEXEXTRACT($K12,""ECO\s*M\((\d+/\d+)\)""),"""")
"),"2/2")</f>
        <v>2/2</v>
      </c>
      <c r="P12" s="6" t="str">
        <f>IFERROR(__xludf.DUMMYFUNCTION("IFERROR(REGEXEXTRACT($K12,""ECO.*?S\((\d+/\d+)\)""),"""")
"),"0/1")</f>
        <v>0/1</v>
      </c>
      <c r="Q12" s="6" t="str">
        <f>IFERROR(__xludf.DUMMYFUNCTION("IFERROR(REGEXEXTRACT($K12,""ECO.*?C\((\d+/\d+)\)""),"""")
"),"0/1")</f>
        <v>0/1</v>
      </c>
      <c r="R12" s="6" t="str">
        <f>IFERROR(__xludf.DUMMYFUNCTION("IFERROR(REGEXEXTRACT($K12,""LING\s*M\((\d+/\d+)\)""),"""")
"),"2/2")</f>
        <v>2/2</v>
      </c>
      <c r="S12" s="6" t="str">
        <f>IFERROR(__xludf.DUMMYFUNCTION("IFERROR(REGEXEXTRACT($K12,""LING.*?S\((\d+/\d+)\)""),"""")
"),"1/2")</f>
        <v>1/2</v>
      </c>
      <c r="T12" s="6" t="str">
        <f>IFERROR(__xludf.DUMMYFUNCTION("IFERROR(REGEXEXTRACT($K12,""LING[^|]*C\(([0-9]+/[0-9]+)\)""),"""")
"),"0/2")</f>
        <v>0/2</v>
      </c>
      <c r="U12" s="6" t="b">
        <f>IFERROR(__xludf.DUMMYFUNCTION("AND(
  VALUE(INDEX(SPLIT(L12,""/""),1))=VALUE(INDEX(SPLIT(L12,""/""),2)),
  VALUE(INDEX(SPLIT(O12,""/""),1))=VALUE(INDEX(SPLIT(O12,""/""),2)),
  VALUE(INDEX(SPLIT(R12,""/""),1))=VALUE(INDEX(SPLIT(R12,""/""),2))
)
"),TRUE)</f>
        <v>1</v>
      </c>
      <c r="V12" s="6" t="str">
        <f>IFERROR(__xludf.DUMMYFUNCTION("IF($U12=TRUE,""OK"",
 TEXTJOIN("" | "",TRUE,
  IF(VALUE(INDEX(SPLIT($L12,""/""),2))-VALUE(INDEX(SPLIT($L12,""/""),1))&gt;0,
    ""DOM faltam ""&amp;(VALUE(INDEX(SPLIT($L12,""/""),2))-VALUE(INDEX(SPLIT($L12,""/""),1))),
  """"),
  IF(VALUE(INDEX(SPLIT($O12,""/"")"&amp;",2))-VALUE(INDEX(SPLIT($O12,""/""),1))&gt;0,
    ""ECO faltam ""&amp;(VALUE(INDEX(SPLIT($O12,""/""),2))-VALUE(INDEX(SPLIT($O12,""/""),1))),
  """"),
  IF(VALUE(INDEX(SPLIT($R12,""/""),2))-VALUE(INDEX(SPLIT($R12,""/""),1))&gt;0,
    ""LING faltam ""&amp;(VALUE(INDEX(SPL"&amp;"IT($R12,""/""),2))-VALUE(INDEX(SPLIT($R12,""/""),1))),
  """")
 )
)
"),"OK")</f>
        <v>OK</v>
      </c>
      <c r="W12" s="6">
        <f>IFERROR(__xludf.DUMMYFUNCTION(" (VALUE(INDEX(SPLIT(L12,""/""),2))-VALUE(INDEX(SPLIT(L12,""/""),1)))
+ (VALUE(INDEX(SPLIT(O12,""/""),2))-VALUE(INDEX(SPLIT(O12,""/""),1)))
+ (VALUE(INDEX(SPLIT(R12,""/""),2))-VALUE(INDEX(SPLIT(R12,""/""),1)))
"),0.0)</f>
        <v>0</v>
      </c>
      <c r="X12" s="6" t="s">
        <v>442</v>
      </c>
      <c r="Y12" s="6" t="s">
        <v>443</v>
      </c>
      <c r="Z12" s="6" t="s">
        <v>444</v>
      </c>
      <c r="AA12" s="6" t="s">
        <v>445</v>
      </c>
    </row>
    <row r="13" ht="17.25" customHeight="1">
      <c r="A13" s="43"/>
      <c r="L13" s="6" t="str">
        <f>IFERROR(__xludf.DUMMYFUNCTION("IFERROR(REGEXEXTRACT($K13,""DOM\s*M\((\d+/\d+)\)""),"""")
"),"")</f>
        <v/>
      </c>
      <c r="M13" s="6" t="str">
        <f>IFERROR(__xludf.DUMMYFUNCTION("IFERROR(REGEXEXTRACT($K13,""DOM.*?S\((\d+/\d+)\)""),"""")
"),"")</f>
        <v/>
      </c>
      <c r="N13" s="6" t="str">
        <f>IFERROR(__xludf.DUMMYFUNCTION("IFERROR(REGEXEXTRACT($K13,""DOM.*?C\((\d+/\d+)\)""),"""")
"),"")</f>
        <v/>
      </c>
      <c r="O13" s="6" t="str">
        <f>IFERROR(__xludf.DUMMYFUNCTION("IFERROR(REGEXEXTRACT($K13,""ECO\s*M\((\d+/\d+)\)""),"""")
"),"")</f>
        <v/>
      </c>
      <c r="P13" s="6" t="str">
        <f>IFERROR(__xludf.DUMMYFUNCTION("IFERROR(REGEXEXTRACT($K13,""ECO.*?S\((\d+/\d+)\)""),"""")
"),"")</f>
        <v/>
      </c>
      <c r="Q13" s="6" t="str">
        <f>IFERROR(__xludf.DUMMYFUNCTION("IFERROR(REGEXEXTRACT($K13,""ECO.*?C\((\d+/\d+)\)""),"""")
"),"")</f>
        <v/>
      </c>
      <c r="R13" s="6" t="str">
        <f>IFERROR(__xludf.DUMMYFUNCTION("IFERROR(REGEXEXTRACT($K13,""LING\s*M\((\d+/\d+)\)""),"""")
"),"")</f>
        <v/>
      </c>
      <c r="S13" s="6" t="str">
        <f>IFERROR(__xludf.DUMMYFUNCTION("IFERROR(REGEXEXTRACT($K13,""LING.*?S\((\d+/\d+)\)""),"""")
"),"")</f>
        <v/>
      </c>
      <c r="T13" s="6" t="str">
        <f>IFERROR(__xludf.DUMMYFUNCTION("IFERROR(REGEXEXTRACT($K13,""LING[^|]*C\(([0-9]+/[0-9]+)\)""),"""")
"),"")</f>
        <v/>
      </c>
    </row>
    <row r="14" ht="17.25" customHeight="1">
      <c r="A14" s="25" t="s">
        <v>124</v>
      </c>
      <c r="B14" s="29" t="str">
        <f>IFERROR(VLOOKUP(A14,Projetos!$A$2:$C$7,2,FALSE),"")
</f>
        <v>Cloud IoT Sensor Platform </v>
      </c>
      <c r="C14" s="6" t="s">
        <v>312</v>
      </c>
      <c r="D14" s="30" t="s">
        <v>253</v>
      </c>
      <c r="E14" s="30" t="s">
        <v>249</v>
      </c>
      <c r="F14" s="30" t="s">
        <v>233</v>
      </c>
      <c r="G14" s="30" t="s">
        <v>255</v>
      </c>
      <c r="H14" s="30">
        <v>3.0</v>
      </c>
      <c r="I14" s="30">
        <v>2.0</v>
      </c>
      <c r="K14" s="6" t="s">
        <v>449</v>
      </c>
      <c r="L14" s="6" t="str">
        <f>IFERROR(__xludf.DUMMYFUNCTION("IFERROR(REGEXEXTRACT($K14,""DOM\s*M\((\d+/\d+)\)""),"""")
"),"1/2")</f>
        <v>1/2</v>
      </c>
      <c r="M14" s="6" t="str">
        <f>IFERROR(__xludf.DUMMYFUNCTION("IFERROR(REGEXEXTRACT($K14,""DOM.*?S\((\d+/\d+)\)""),"""")
"),"1/1")</f>
        <v>1/1</v>
      </c>
      <c r="N14" s="6" t="str">
        <f>IFERROR(__xludf.DUMMYFUNCTION("IFERROR(REGEXEXTRACT($K14,""DOM.*?C\((\d+/\d+)\)""),"""")
"),"0/1")</f>
        <v>0/1</v>
      </c>
      <c r="O14" s="6" t="str">
        <f>IFERROR(__xludf.DUMMYFUNCTION("IFERROR(REGEXEXTRACT($K14,""ECO\s*M\((\d+/\d+)\)""),"""")
"),"1/1")</f>
        <v>1/1</v>
      </c>
      <c r="P14" s="6" t="str">
        <f>IFERROR(__xludf.DUMMYFUNCTION("IFERROR(REGEXEXTRACT($K14,""ECO.*?S\((\d+/\d+)\)""),"""")
"),"1/3")</f>
        <v>1/3</v>
      </c>
      <c r="Q14" s="6" t="str">
        <f>IFERROR(__xludf.DUMMYFUNCTION("IFERROR(REGEXEXTRACT($K14,""ECO.*?C\((\d+/\d+)\)""),"""")
"),"1/1")</f>
        <v>1/1</v>
      </c>
      <c r="R14" s="6" t="str">
        <f>IFERROR(__xludf.DUMMYFUNCTION("IFERROR(REGEXEXTRACT($K14,""LING\s*M\((\d+/\d+)\)""),"""")
"),"1/2")</f>
        <v>1/2</v>
      </c>
      <c r="S14" s="6" t="str">
        <f>IFERROR(__xludf.DUMMYFUNCTION("IFERROR(REGEXEXTRACT($K14,""LING.*?S\((\d+/\d+)\)""),"""")
"),"1/1")</f>
        <v>1/1</v>
      </c>
      <c r="T14" s="6" t="str">
        <f>IFERROR(__xludf.DUMMYFUNCTION("IFERROR(REGEXEXTRACT($K14,""LING[^|]*C\(([0-9]+/[0-9]+)\)""),"""")
"),"0/2")</f>
        <v>0/2</v>
      </c>
      <c r="U14" s="6" t="b">
        <f>IFERROR(__xludf.DUMMYFUNCTION("AND(
  VALUE(INDEX(SPLIT(L14,""/""),1))=VALUE(INDEX(SPLIT(L14,""/""),2)),
  VALUE(INDEX(SPLIT(O14,""/""),1))=VALUE(INDEX(SPLIT(O14,""/""),2)),
  VALUE(INDEX(SPLIT(R14,""/""),1))=VALUE(INDEX(SPLIT(R14,""/""),2))
)
"),FALSE)</f>
        <v>0</v>
      </c>
      <c r="V14" s="6" t="str">
        <f>IFERROR(__xludf.DUMMYFUNCTION("IF($U14=TRUE,""OK"",
 TEXTJOIN("" | "",TRUE,
  IF(VALUE(INDEX(SPLIT($L14,""/""),2))-VALUE(INDEX(SPLIT($L14,""/""),1))&gt;0,
    ""DOM faltam ""&amp;(VALUE(INDEX(SPLIT($L14,""/""),2))-VALUE(INDEX(SPLIT($L14,""/""),1))),
  """"),
  IF(VALUE(INDEX(SPLIT($O14,""/"")"&amp;",2))-VALUE(INDEX(SPLIT($O14,""/""),1))&gt;0,
    ""ECO faltam ""&amp;(VALUE(INDEX(SPLIT($O14,""/""),2))-VALUE(INDEX(SPLIT($O14,""/""),1))),
  """"),
  IF(VALUE(INDEX(SPLIT($R14,""/""),2))-VALUE(INDEX(SPLIT($R14,""/""),1))&gt;0,
    ""LING faltam ""&amp;(VALUE(INDEX(SPL"&amp;"IT($R14,""/""),2))-VALUE(INDEX(SPLIT($R14,""/""),1))),
  """")
 )
)
"),"DOM faltam 1 | LING faltam 1")</f>
        <v>DOM faltam 1 | LING faltam 1</v>
      </c>
      <c r="W14" s="6">
        <f>IFERROR(__xludf.DUMMYFUNCTION(" (VALUE(INDEX(SPLIT(L14,""/""),2))-VALUE(INDEX(SPLIT(L14,""/""),1)))
+ (VALUE(INDEX(SPLIT(O14,""/""),2))-VALUE(INDEX(SPLIT(O14,""/""),1)))
+ (VALUE(INDEX(SPLIT(R14,""/""),2))-VALUE(INDEX(SPLIT(R14,""/""),1)))
"),2.0)</f>
        <v>2</v>
      </c>
      <c r="X14" s="6" t="s">
        <v>463</v>
      </c>
      <c r="Y14" s="6" t="s">
        <v>464</v>
      </c>
      <c r="Z14" s="6" t="s">
        <v>465</v>
      </c>
      <c r="AA14" s="6" t="s">
        <v>466</v>
      </c>
    </row>
    <row r="15" ht="16.5" customHeight="1">
      <c r="A15" s="34"/>
      <c r="B15" s="35" t="str">
        <f>IFERROR(
"DOM  M["&amp;VLOOKUP($A14,Projetos!$A:$L,4,FALSE)&amp;"] S["&amp;VLOOKUP($A14,Projetos!$A:$L,5,FALSE)&amp;"] C["&amp;VLOOKUP($A14,Projetos!$A:$L,6,FALSE)&amp;"]"&amp;CHAR(10)&amp;
"ECO  M["&amp;VLOOKUP($A14,Projetos!$A:$L,7,FALSE)&amp;"] S["&amp;VLOOKUP($A14,Projetos!$A:$L,8,FALSE)&amp;"] C["&amp;VLOOKUP($A14,Projetos!$A:$L,9,FALSE)&amp;"]"&amp;CHAR(10)&amp;
"LING M["&amp;VLOOKUP($A14,Projetos!$A:$L,10,FALSE)&amp;"] S["&amp;VLOOKUP($A14,Projetos!$A:$L,11,FALSE)&amp;"] C["&amp;VLOOKUP($A14,Projetos!$A:$L,12,FALSE)&amp;"]"
,"")
</f>
        <v>DOM  M[IoT, Cloud] S[Web] C[Desktop]
ECO  M[AWS Lambda] S[React, Angular, MongoDB] C[Android]
LING M[Python, C++] S[JavaScript] C[Java, TypeScript]</v>
      </c>
      <c r="C15" s="6" t="s">
        <v>318</v>
      </c>
      <c r="D15" s="6" t="s">
        <v>90</v>
      </c>
      <c r="E15" s="6" t="s">
        <v>222</v>
      </c>
      <c r="F15" s="6" t="s">
        <v>256</v>
      </c>
      <c r="G15" s="6" t="s">
        <v>257</v>
      </c>
      <c r="H15" s="6">
        <v>5.0</v>
      </c>
      <c r="I15" s="6">
        <v>4.0</v>
      </c>
      <c r="J15" s="90"/>
      <c r="K15" s="6" t="s">
        <v>467</v>
      </c>
      <c r="L15" s="6" t="str">
        <f>IFERROR(__xludf.DUMMYFUNCTION("IFERROR(REGEXEXTRACT($K15,""DOM\s*M\((\d+/\d+)\)""),"""")
"),"0/2")</f>
        <v>0/2</v>
      </c>
      <c r="M15" s="6" t="str">
        <f>IFERROR(__xludf.DUMMYFUNCTION("IFERROR(REGEXEXTRACT($K15,""DOM.*?S\((\d+/\d+)\)""),"""")
"),"1/1")</f>
        <v>1/1</v>
      </c>
      <c r="N15" s="6" t="str">
        <f>IFERROR(__xludf.DUMMYFUNCTION("IFERROR(REGEXEXTRACT($K15,""DOM.*?C\((\d+/\d+)\)""),"""")
"),"0/1")</f>
        <v>0/1</v>
      </c>
      <c r="O15" s="6" t="str">
        <f>IFERROR(__xludf.DUMMYFUNCTION("IFERROR(REGEXEXTRACT($K15,""ECO\s*M\((\d+/\d+)\)""),"""")
"),"0/1")</f>
        <v>0/1</v>
      </c>
      <c r="P15" s="6" t="str">
        <f>IFERROR(__xludf.DUMMYFUNCTION("IFERROR(REGEXEXTRACT($K15,""ECO.*?S\((\d+/\d+)\)""),"""")
"),"1/3")</f>
        <v>1/3</v>
      </c>
      <c r="Q15" s="6" t="str">
        <f>IFERROR(__xludf.DUMMYFUNCTION("IFERROR(REGEXEXTRACT($K15,""ECO.*?C\((\d+/\d+)\)""),"""")
"),"1/1")</f>
        <v>1/1</v>
      </c>
      <c r="R15" s="6" t="str">
        <f>IFERROR(__xludf.DUMMYFUNCTION("IFERROR(REGEXEXTRACT($K15,""LING\s*M\((\d+/\d+)\)""),"""")
"),"0/2")</f>
        <v>0/2</v>
      </c>
      <c r="S15" s="6" t="str">
        <f>IFERROR(__xludf.DUMMYFUNCTION("IFERROR(REGEXEXTRACT($K15,""LING.*?S\((\d+/\d+)\)""),"""")
"),"1/1")</f>
        <v>1/1</v>
      </c>
      <c r="T15" s="6" t="str">
        <f>IFERROR(__xludf.DUMMYFUNCTION("IFERROR(REGEXEXTRACT($K15,""LING[^|]*C\(([0-9]+/[0-9]+)\)""),"""")
"),"1/2")</f>
        <v>1/2</v>
      </c>
      <c r="U15" s="6" t="b">
        <f>IFERROR(__xludf.DUMMYFUNCTION("AND(
  VALUE(INDEX(SPLIT(L15,""/""),1))=VALUE(INDEX(SPLIT(L15,""/""),2)),
  VALUE(INDEX(SPLIT(O15,""/""),1))=VALUE(INDEX(SPLIT(O15,""/""),2)),
  VALUE(INDEX(SPLIT(R15,""/""),1))=VALUE(INDEX(SPLIT(R15,""/""),2))
)
"),FALSE)</f>
        <v>0</v>
      </c>
      <c r="V15" s="6" t="str">
        <f>IFERROR(__xludf.DUMMYFUNCTION("IF($U15=TRUE,""OK"",
 TEXTJOIN("" | "",TRUE,
  IF(VALUE(INDEX(SPLIT($L15,""/""),2))-VALUE(INDEX(SPLIT($L15,""/""),1))&gt;0,
    ""DOM faltam ""&amp;(VALUE(INDEX(SPLIT($L15,""/""),2))-VALUE(INDEX(SPLIT($L15,""/""),1))),
  """"),
  IF(VALUE(INDEX(SPLIT($O15,""/"")"&amp;",2))-VALUE(INDEX(SPLIT($O15,""/""),1))&gt;0,
    ""ECO faltam ""&amp;(VALUE(INDEX(SPLIT($O15,""/""),2))-VALUE(INDEX(SPLIT($O15,""/""),1))),
  """"),
  IF(VALUE(INDEX(SPLIT($R15,""/""),2))-VALUE(INDEX(SPLIT($R15,""/""),1))&gt;0,
    ""LING faltam ""&amp;(VALUE(INDEX(SPL"&amp;"IT($R15,""/""),2))-VALUE(INDEX(SPLIT($R15,""/""),1))),
  """")
 )
)
"),"DOM faltam 2 | ECO faltam 1 | LING faltam 2")</f>
        <v>DOM faltam 2 | ECO faltam 1 | LING faltam 2</v>
      </c>
      <c r="W15" s="6">
        <f>IFERROR(__xludf.DUMMYFUNCTION(" (VALUE(INDEX(SPLIT(L15,""/""),2))-VALUE(INDEX(SPLIT(L15,""/""),1)))
+ (VALUE(INDEX(SPLIT(O15,""/""),2))-VALUE(INDEX(SPLIT(O15,""/""),1)))
+ (VALUE(INDEX(SPLIT(R15,""/""),2))-VALUE(INDEX(SPLIT(R15,""/""),1)))
"),5.0)</f>
        <v>5</v>
      </c>
      <c r="X15" s="6" t="s">
        <v>468</v>
      </c>
      <c r="Y15" s="6" t="s">
        <v>469</v>
      </c>
      <c r="Z15" s="6" t="s">
        <v>470</v>
      </c>
      <c r="AA15" s="6" t="s">
        <v>471</v>
      </c>
    </row>
    <row r="16" ht="17.25" customHeight="1">
      <c r="A16" s="34"/>
      <c r="C16" s="6" t="s">
        <v>322</v>
      </c>
      <c r="D16" s="6" t="s">
        <v>258</v>
      </c>
      <c r="E16" s="6" t="s">
        <v>259</v>
      </c>
      <c r="F16" s="6" t="s">
        <v>260</v>
      </c>
      <c r="G16" s="6" t="s">
        <v>261</v>
      </c>
      <c r="H16" s="6">
        <v>4.0</v>
      </c>
      <c r="I16" s="6">
        <v>4.0</v>
      </c>
      <c r="J16" s="90"/>
      <c r="K16" s="6" t="s">
        <v>472</v>
      </c>
      <c r="L16" s="6" t="str">
        <f>IFERROR(__xludf.DUMMYFUNCTION("IFERROR(REGEXEXTRACT($K16,""DOM\s*M\((\d+/\d+)\)""),"""")
"),"0/2")</f>
        <v>0/2</v>
      </c>
      <c r="M16" s="6" t="str">
        <f>IFERROR(__xludf.DUMMYFUNCTION("IFERROR(REGEXEXTRACT($K16,""DOM.*?S\((\d+/\d+)\)""),"""")
"),"1/1")</f>
        <v>1/1</v>
      </c>
      <c r="N16" s="6" t="str">
        <f>IFERROR(__xludf.DUMMYFUNCTION("IFERROR(REGEXEXTRACT($K16,""DOM.*?C\((\d+/\d+)\)""),"""")
"),"1/1")</f>
        <v>1/1</v>
      </c>
      <c r="O16" s="6" t="str">
        <f>IFERROR(__xludf.DUMMYFUNCTION("IFERROR(REGEXEXTRACT($K16,""ECO\s*M\((\d+/\d+)\)""),"""")
"),"0/1")</f>
        <v>0/1</v>
      </c>
      <c r="P16" s="6" t="str">
        <f>IFERROR(__xludf.DUMMYFUNCTION("IFERROR(REGEXEXTRACT($K16,""ECO.*?S\((\d+/\d+)\)""),"""")
"),"1/3")</f>
        <v>1/3</v>
      </c>
      <c r="Q16" s="6" t="str">
        <f>IFERROR(__xludf.DUMMYFUNCTION("IFERROR(REGEXEXTRACT($K16,""ECO.*?C\((\d+/\d+)\)""),"""")
"),"0/1")</f>
        <v>0/1</v>
      </c>
      <c r="R16" s="6" t="str">
        <f>IFERROR(__xludf.DUMMYFUNCTION("IFERROR(REGEXEXTRACT($K16,""LING\s*M\((\d+/\d+)\)""),"""")
"),"0/2")</f>
        <v>0/2</v>
      </c>
      <c r="S16" s="6" t="str">
        <f>IFERROR(__xludf.DUMMYFUNCTION("IFERROR(REGEXEXTRACT($K16,""LING.*?S\((\d+/\d+)\)""),"""")
"),"1/1")</f>
        <v>1/1</v>
      </c>
      <c r="T16" s="6" t="str">
        <f>IFERROR(__xludf.DUMMYFUNCTION("IFERROR(REGEXEXTRACT($K16,""LING[^|]*C\(([0-9]+/[0-9]+)\)""),"""")
"),"0/2")</f>
        <v>0/2</v>
      </c>
      <c r="U16" s="6" t="b">
        <f>IFERROR(__xludf.DUMMYFUNCTION("AND(
  VALUE(INDEX(SPLIT(L16,""/""),1))=VALUE(INDEX(SPLIT(L16,""/""),2)),
  VALUE(INDEX(SPLIT(O16,""/""),1))=VALUE(INDEX(SPLIT(O16,""/""),2)),
  VALUE(INDEX(SPLIT(R16,""/""),1))=VALUE(INDEX(SPLIT(R16,""/""),2))
)
"),FALSE)</f>
        <v>0</v>
      </c>
      <c r="V16" s="6" t="str">
        <f>IFERROR(__xludf.DUMMYFUNCTION("IF($U16=TRUE,""OK"",
 TEXTJOIN("" | "",TRUE,
  IF(VALUE(INDEX(SPLIT($L16,""/""),2))-VALUE(INDEX(SPLIT($L16,""/""),1))&gt;0,
    ""DOM faltam ""&amp;(VALUE(INDEX(SPLIT($L16,""/""),2))-VALUE(INDEX(SPLIT($L16,""/""),1))),
  """"),
  IF(VALUE(INDEX(SPLIT($O16,""/"")"&amp;",2))-VALUE(INDEX(SPLIT($O16,""/""),1))&gt;0,
    ""ECO faltam ""&amp;(VALUE(INDEX(SPLIT($O16,""/""),2))-VALUE(INDEX(SPLIT($O16,""/""),1))),
  """"),
  IF(VALUE(INDEX(SPLIT($R16,""/""),2))-VALUE(INDEX(SPLIT($R16,""/""),1))&gt;0,
    ""LING faltam ""&amp;(VALUE(INDEX(SPL"&amp;"IT($R16,""/""),2))-VALUE(INDEX(SPLIT($R16,""/""),1))),
  """")
 )
)
"),"DOM faltam 2 | ECO faltam 1 | LING faltam 2")</f>
        <v>DOM faltam 2 | ECO faltam 1 | LING faltam 2</v>
      </c>
      <c r="W16" s="6">
        <f>IFERROR(__xludf.DUMMYFUNCTION(" (VALUE(INDEX(SPLIT(L16,""/""),2))-VALUE(INDEX(SPLIT(L16,""/""),1)))
+ (VALUE(INDEX(SPLIT(O16,""/""),2))-VALUE(INDEX(SPLIT(O16,""/""),1)))
+ (VALUE(INDEX(SPLIT(R16,""/""),2))-VALUE(INDEX(SPLIT(R16,""/""),1)))
"),5.0)</f>
        <v>5</v>
      </c>
      <c r="X16" s="6" t="s">
        <v>473</v>
      </c>
      <c r="Y16" s="6" t="s">
        <v>474</v>
      </c>
      <c r="Z16" s="6" t="s">
        <v>475</v>
      </c>
      <c r="AA16" s="6" t="s">
        <v>476</v>
      </c>
    </row>
    <row r="17" ht="15.75" customHeight="1">
      <c r="A17" s="34"/>
      <c r="C17" s="6" t="s">
        <v>325</v>
      </c>
      <c r="D17" s="6" t="s">
        <v>258</v>
      </c>
      <c r="E17" s="6" t="s">
        <v>263</v>
      </c>
      <c r="F17" s="6" t="s">
        <v>265</v>
      </c>
      <c r="G17" s="6" t="s">
        <v>268</v>
      </c>
      <c r="H17" s="6">
        <v>3.0</v>
      </c>
      <c r="I17" s="6">
        <v>3.0</v>
      </c>
      <c r="J17" s="90"/>
      <c r="K17" s="6" t="s">
        <v>477</v>
      </c>
      <c r="L17" s="6" t="str">
        <f>IFERROR(__xludf.DUMMYFUNCTION("IFERROR(REGEXEXTRACT($K17,""DOM\s*M\((\d+/\d+)\)""),"""")
"),"0/2")</f>
        <v>0/2</v>
      </c>
      <c r="M17" s="6" t="str">
        <f>IFERROR(__xludf.DUMMYFUNCTION("IFERROR(REGEXEXTRACT($K17,""DOM.*?S\((\d+/\d+)\)""),"""")
"),"1/1")</f>
        <v>1/1</v>
      </c>
      <c r="N17" s="6" t="str">
        <f>IFERROR(__xludf.DUMMYFUNCTION("IFERROR(REGEXEXTRACT($K17,""DOM.*?C\((\d+/\d+)\)""),"""")
"),"0/1")</f>
        <v>0/1</v>
      </c>
      <c r="O17" s="6" t="str">
        <f>IFERROR(__xludf.DUMMYFUNCTION("IFERROR(REGEXEXTRACT($K17,""ECO\s*M\((\d+/\d+)\)""),"""")
"),"0/1")</f>
        <v>0/1</v>
      </c>
      <c r="P17" s="6" t="str">
        <f>IFERROR(__xludf.DUMMYFUNCTION("IFERROR(REGEXEXTRACT($K17,""ECO.*?S\((\d+/\d+)\)""),"""")
"),"1/3")</f>
        <v>1/3</v>
      </c>
      <c r="Q17" s="6" t="str">
        <f>IFERROR(__xludf.DUMMYFUNCTION("IFERROR(REGEXEXTRACT($K17,""ECO.*?C\((\d+/\d+)\)""),"""")
"),"0/1")</f>
        <v>0/1</v>
      </c>
      <c r="R17" s="6" t="str">
        <f>IFERROR(__xludf.DUMMYFUNCTION("IFERROR(REGEXEXTRACT($K17,""LING\s*M\((\d+/\d+)\)""),"""")
"),"0/2")</f>
        <v>0/2</v>
      </c>
      <c r="S17" s="6" t="str">
        <f>IFERROR(__xludf.DUMMYFUNCTION("IFERROR(REGEXEXTRACT($K17,""LING.*?S\((\d+/\d+)\)""),"""")
"),"1/1")</f>
        <v>1/1</v>
      </c>
      <c r="T17" s="6" t="str">
        <f>IFERROR(__xludf.DUMMYFUNCTION("IFERROR(REGEXEXTRACT($K17,""LING[^|]*C\(([0-9]+/[0-9]+)\)""),"""")
"),"1/2")</f>
        <v>1/2</v>
      </c>
      <c r="U17" s="6" t="b">
        <f>IFERROR(__xludf.DUMMYFUNCTION("AND(
  VALUE(INDEX(SPLIT(L17,""/""),1))=VALUE(INDEX(SPLIT(L17,""/""),2)),
  VALUE(INDEX(SPLIT(O17,""/""),1))=VALUE(INDEX(SPLIT(O17,""/""),2)),
  VALUE(INDEX(SPLIT(R17,""/""),1))=VALUE(INDEX(SPLIT(R17,""/""),2))
)
"),FALSE)</f>
        <v>0</v>
      </c>
      <c r="V17" s="6" t="str">
        <f>IFERROR(__xludf.DUMMYFUNCTION("IF($U17=TRUE,""OK"",
 TEXTJOIN("" | "",TRUE,
  IF(VALUE(INDEX(SPLIT($L17,""/""),2))-VALUE(INDEX(SPLIT($L17,""/""),1))&gt;0,
    ""DOM faltam ""&amp;(VALUE(INDEX(SPLIT($L17,""/""),2))-VALUE(INDEX(SPLIT($L17,""/""),1))),
  """"),
  IF(VALUE(INDEX(SPLIT($O17,""/"")"&amp;",2))-VALUE(INDEX(SPLIT($O17,""/""),1))&gt;0,
    ""ECO faltam ""&amp;(VALUE(INDEX(SPLIT($O17,""/""),2))-VALUE(INDEX(SPLIT($O17,""/""),1))),
  """"),
  IF(VALUE(INDEX(SPLIT($R17,""/""),2))-VALUE(INDEX(SPLIT($R17,""/""),1))&gt;0,
    ""LING faltam ""&amp;(VALUE(INDEX(SPL"&amp;"IT($R17,""/""),2))-VALUE(INDEX(SPLIT($R17,""/""),1))),
  """")
 )
)
"),"DOM faltam 2 | ECO faltam 1 | LING faltam 2")</f>
        <v>DOM faltam 2 | ECO faltam 1 | LING faltam 2</v>
      </c>
      <c r="W17" s="6">
        <f>IFERROR(__xludf.DUMMYFUNCTION(" (VALUE(INDEX(SPLIT(L17,""/""),2))-VALUE(INDEX(SPLIT(L17,""/""),1)))
+ (VALUE(INDEX(SPLIT(O17,""/""),2))-VALUE(INDEX(SPLIT(O17,""/""),1)))
+ (VALUE(INDEX(SPLIT(R17,""/""),2))-VALUE(INDEX(SPLIT(R17,""/""),1)))
"),5.0)</f>
        <v>5</v>
      </c>
      <c r="X17" s="6" t="s">
        <v>478</v>
      </c>
      <c r="Y17" s="6" t="s">
        <v>479</v>
      </c>
      <c r="Z17" s="6" t="s">
        <v>480</v>
      </c>
      <c r="AA17" s="6" t="s">
        <v>481</v>
      </c>
    </row>
    <row r="18" ht="16.5" customHeight="1">
      <c r="A18" s="40"/>
      <c r="B18" s="41"/>
      <c r="C18" s="6" t="s">
        <v>329</v>
      </c>
      <c r="D18" s="42" t="s">
        <v>220</v>
      </c>
      <c r="E18" s="42" t="s">
        <v>270</v>
      </c>
      <c r="F18" s="42" t="s">
        <v>169</v>
      </c>
      <c r="G18" s="42" t="s">
        <v>271</v>
      </c>
      <c r="H18" s="42">
        <v>5.0</v>
      </c>
      <c r="I18" s="42">
        <v>5.0</v>
      </c>
      <c r="J18" s="90"/>
      <c r="K18" s="6" t="s">
        <v>482</v>
      </c>
      <c r="L18" s="6" t="str">
        <f>IFERROR(__xludf.DUMMYFUNCTION("IFERROR(REGEXEXTRACT($K18,""DOM\s*M\((\d+/\d+)\)""),"""")
"),"0/2")</f>
        <v>0/2</v>
      </c>
      <c r="M18" s="6" t="str">
        <f>IFERROR(__xludf.DUMMYFUNCTION("IFERROR(REGEXEXTRACT($K18,""DOM.*?S\((\d+/\d+)\)""),"""")
"),"1/1")</f>
        <v>1/1</v>
      </c>
      <c r="N18" s="6" t="str">
        <f>IFERROR(__xludf.DUMMYFUNCTION("IFERROR(REGEXEXTRACT($K18,""DOM.*?C\((\d+/\d+)\)""),"""")
"),"0/1")</f>
        <v>0/1</v>
      </c>
      <c r="O18" s="6" t="str">
        <f>IFERROR(__xludf.DUMMYFUNCTION("IFERROR(REGEXEXTRACT($K18,""ECO\s*M\((\d+/\d+)\)""),"""")
"),"0/1")</f>
        <v>0/1</v>
      </c>
      <c r="P18" s="6" t="str">
        <f>IFERROR(__xludf.DUMMYFUNCTION("IFERROR(REGEXEXTRACT($K18,""ECO.*?S\((\d+/\d+)\)""),"""")
"),"1/3")</f>
        <v>1/3</v>
      </c>
      <c r="Q18" s="6" t="str">
        <f>IFERROR(__xludf.DUMMYFUNCTION("IFERROR(REGEXEXTRACT($K18,""ECO.*?C\((\d+/\d+)\)""),"""")
"),"0/1")</f>
        <v>0/1</v>
      </c>
      <c r="R18" s="6" t="str">
        <f>IFERROR(__xludf.DUMMYFUNCTION("IFERROR(REGEXEXTRACT($K18,""LING\s*M\((\d+/\d+)\)""),"""")
"),"0/2")</f>
        <v>0/2</v>
      </c>
      <c r="S18" s="6" t="str">
        <f>IFERROR(__xludf.DUMMYFUNCTION("IFERROR(REGEXEXTRACT($K18,""LING.*?S\((\d+/\d+)\)""),"""")
"),"1/1")</f>
        <v>1/1</v>
      </c>
      <c r="T18" s="6" t="str">
        <f>IFERROR(__xludf.DUMMYFUNCTION("IFERROR(REGEXEXTRACT($K18,""LING[^|]*C\(([0-9]+/[0-9]+)\)""),"""")
"),"0/2")</f>
        <v>0/2</v>
      </c>
      <c r="U18" s="6" t="b">
        <f>IFERROR(__xludf.DUMMYFUNCTION("AND(
  VALUE(INDEX(SPLIT(L18,""/""),1))=VALUE(INDEX(SPLIT(L18,""/""),2)),
  VALUE(INDEX(SPLIT(O18,""/""),1))=VALUE(INDEX(SPLIT(O18,""/""),2)),
  VALUE(INDEX(SPLIT(R18,""/""),1))=VALUE(INDEX(SPLIT(R18,""/""),2))
)
"),FALSE)</f>
        <v>0</v>
      </c>
      <c r="V18" s="6" t="str">
        <f>IFERROR(__xludf.DUMMYFUNCTION("IF($U18=TRUE,""OK"",
 TEXTJOIN("" | "",TRUE,
  IF(VALUE(INDEX(SPLIT($L18,""/""),2))-VALUE(INDEX(SPLIT($L18,""/""),1))&gt;0,
    ""DOM faltam ""&amp;(VALUE(INDEX(SPLIT($L18,""/""),2))-VALUE(INDEX(SPLIT($L18,""/""),1))),
  """"),
  IF(VALUE(INDEX(SPLIT($O18,""/"")"&amp;",2))-VALUE(INDEX(SPLIT($O18,""/""),1))&gt;0,
    ""ECO faltam ""&amp;(VALUE(INDEX(SPLIT($O18,""/""),2))-VALUE(INDEX(SPLIT($O18,""/""),1))),
  """"),
  IF(VALUE(INDEX(SPLIT($R18,""/""),2))-VALUE(INDEX(SPLIT($R18,""/""),1))&gt;0,
    ""LING faltam ""&amp;(VALUE(INDEX(SPL"&amp;"IT($R18,""/""),2))-VALUE(INDEX(SPLIT($R18,""/""),1))),
  """")
 )
)
"),"DOM faltam 2 | ECO faltam 1 | LING faltam 2")</f>
        <v>DOM faltam 2 | ECO faltam 1 | LING faltam 2</v>
      </c>
      <c r="W18" s="6">
        <f>IFERROR(__xludf.DUMMYFUNCTION(" (VALUE(INDEX(SPLIT(L18,""/""),2))-VALUE(INDEX(SPLIT(L18,""/""),1)))
+ (VALUE(INDEX(SPLIT(O18,""/""),2))-VALUE(INDEX(SPLIT(O18,""/""),1)))
+ (VALUE(INDEX(SPLIT(R18,""/""),2))-VALUE(INDEX(SPLIT(R18,""/""),1)))
"),5.0)</f>
        <v>5</v>
      </c>
      <c r="X18" s="6" t="s">
        <v>483</v>
      </c>
      <c r="Y18" s="6" t="s">
        <v>484</v>
      </c>
      <c r="Z18" s="6" t="s">
        <v>485</v>
      </c>
      <c r="AA18" s="6" t="s">
        <v>486</v>
      </c>
    </row>
    <row r="19" ht="16.5" customHeight="1">
      <c r="A19" s="43"/>
      <c r="L19" s="6" t="str">
        <f>IFERROR(__xludf.DUMMYFUNCTION("IFERROR(REGEXEXTRACT($K19,""DOM\s*M\((\d+/\d+)\)""),"""")
"),"")</f>
        <v/>
      </c>
      <c r="M19" s="6" t="str">
        <f>IFERROR(__xludf.DUMMYFUNCTION("IFERROR(REGEXEXTRACT($K19,""DOM.*?S\((\d+/\d+)\)""),"""")
"),"")</f>
        <v/>
      </c>
      <c r="N19" s="6" t="str">
        <f>IFERROR(__xludf.DUMMYFUNCTION("IFERROR(REGEXEXTRACT($K19,""DOM.*?C\((\d+/\d+)\)""),"""")
"),"")</f>
        <v/>
      </c>
      <c r="O19" s="6" t="str">
        <f>IFERROR(__xludf.DUMMYFUNCTION("IFERROR(REGEXEXTRACT($K19,""ECO\s*M\((\d+/\d+)\)""),"""")
"),"")</f>
        <v/>
      </c>
      <c r="P19" s="6" t="str">
        <f>IFERROR(__xludf.DUMMYFUNCTION("IFERROR(REGEXEXTRACT($K19,""ECO.*?S\((\d+/\d+)\)""),"""")
"),"")</f>
        <v/>
      </c>
      <c r="Q19" s="6" t="str">
        <f>IFERROR(__xludf.DUMMYFUNCTION("IFERROR(REGEXEXTRACT($K19,""ECO.*?C\((\d+/\d+)\)""),"""")
"),"")</f>
        <v/>
      </c>
      <c r="R19" s="6" t="str">
        <f>IFERROR(__xludf.DUMMYFUNCTION("IFERROR(REGEXEXTRACT($K19,""LING\s*M\((\d+/\d+)\)""),"""")
"),"")</f>
        <v/>
      </c>
      <c r="S19" s="6" t="str">
        <f>IFERROR(__xludf.DUMMYFUNCTION("IFERROR(REGEXEXTRACT($K19,""LING.*?S\((\d+/\d+)\)""),"""")
"),"")</f>
        <v/>
      </c>
      <c r="T19" s="6" t="str">
        <f>IFERROR(__xludf.DUMMYFUNCTION("IFERROR(REGEXEXTRACT($K19,""LING[^|]*C\(([0-9]+/[0-9]+)\)""),"""")
"),"")</f>
        <v/>
      </c>
    </row>
    <row r="20" ht="16.5" customHeight="1">
      <c r="A20" s="25" t="s">
        <v>134</v>
      </c>
      <c r="B20" s="29" t="str">
        <f>IFERROR(VLOOKUP(A20,Projetos!$A$2:$C$7,2,FALSE),"")
</f>
        <v>Web Analytic Reports SaaS</v>
      </c>
      <c r="C20" s="6" t="s">
        <v>340</v>
      </c>
      <c r="D20" s="30" t="s">
        <v>174</v>
      </c>
      <c r="E20" s="30" t="s">
        <v>172</v>
      </c>
      <c r="F20" s="30" t="s">
        <v>188</v>
      </c>
      <c r="G20" s="30" t="s">
        <v>248</v>
      </c>
      <c r="H20" s="30">
        <v>2.0</v>
      </c>
      <c r="I20" s="30">
        <v>2.0</v>
      </c>
      <c r="J20" s="31"/>
      <c r="K20" s="6" t="s">
        <v>487</v>
      </c>
      <c r="L20" s="6" t="str">
        <f>IFERROR(__xludf.DUMMYFUNCTION("IFERROR(REGEXEXTRACT($K20,""DOM\s*M\((\d+/\d+)\)""),"""")
"),"1/1")</f>
        <v>1/1</v>
      </c>
      <c r="M20" s="6" t="str">
        <f>IFERROR(__xludf.DUMMYFUNCTION("IFERROR(REGEXEXTRACT($K20,""DOM.*?S\((\d+/\d+)\)""),"""")
"),"0/1")</f>
        <v>0/1</v>
      </c>
      <c r="N20" s="6" t="str">
        <f>IFERROR(__xludf.DUMMYFUNCTION("IFERROR(REGEXEXTRACT($K20,""DOM.*?C\((\d+/\d+)\)""),"""")
"),"1/1")</f>
        <v>1/1</v>
      </c>
      <c r="O20" s="6" t="str">
        <f>IFERROR(__xludf.DUMMYFUNCTION("IFERROR(REGEXEXTRACT($K20,""ECO\s*M\((\d+/\d+)\)""),"""")
"),"0/1")</f>
        <v>0/1</v>
      </c>
      <c r="P20" s="6" t="str">
        <f>IFERROR(__xludf.DUMMYFUNCTION("IFERROR(REGEXEXTRACT($K20,""ECO.*?S\((\d+/\d+)\)""),"""")
"),"0/2")</f>
        <v>0/2</v>
      </c>
      <c r="Q20" s="6" t="str">
        <f>IFERROR(__xludf.DUMMYFUNCTION("IFERROR(REGEXEXTRACT($K20,""ECO.*?C\((\d+/\d+)\)""),"""")
"),"0/1")</f>
        <v>0/1</v>
      </c>
      <c r="R20" s="6" t="str">
        <f>IFERROR(__xludf.DUMMYFUNCTION("IFERROR(REGEXEXTRACT($K20,""LING\s*M\((\d+/\d+)\)""),"""")
"),"1/1")</f>
        <v>1/1</v>
      </c>
      <c r="S20" s="6" t="str">
        <f>IFERROR(__xludf.DUMMYFUNCTION("IFERROR(REGEXEXTRACT($K20,""LING.*?S\((\d+/\d+)\)""),"""")
"),"0/2")</f>
        <v>0/2</v>
      </c>
      <c r="T20" s="6" t="str">
        <f>IFERROR(__xludf.DUMMYFUNCTION("IFERROR(REGEXEXTRACT($K20,""LING[^|]*C\(([0-9]+/[0-9]+)\)""),"""")
"),"1/2")</f>
        <v>1/2</v>
      </c>
      <c r="U20" s="6" t="b">
        <f>IFERROR(__xludf.DUMMYFUNCTION("AND(
  VALUE(INDEX(SPLIT(L20,""/""),1))=VALUE(INDEX(SPLIT(L20,""/""),2)),
  VALUE(INDEX(SPLIT(O20,""/""),1))=VALUE(INDEX(SPLIT(O20,""/""),2)),
  VALUE(INDEX(SPLIT(R20,""/""),1))=VALUE(INDEX(SPLIT(R20,""/""),2))
)
"),FALSE)</f>
        <v>0</v>
      </c>
      <c r="V20" s="6" t="str">
        <f>IFERROR(__xludf.DUMMYFUNCTION("IF($U20=TRUE,""OK"",
 TEXTJOIN("" | "",TRUE,
  IF(VALUE(INDEX(SPLIT($L20,""/""),2))-VALUE(INDEX(SPLIT($L20,""/""),1))&gt;0,
    ""DOM faltam ""&amp;(VALUE(INDEX(SPLIT($L20,""/""),2))-VALUE(INDEX(SPLIT($L20,""/""),1))),
  """"),
  IF(VALUE(INDEX(SPLIT($O20,""/"")"&amp;",2))-VALUE(INDEX(SPLIT($O20,""/""),1))&gt;0,
    ""ECO faltam ""&amp;(VALUE(INDEX(SPLIT($O20,""/""),2))-VALUE(INDEX(SPLIT($O20,""/""),1))),
  """"),
  IF(VALUE(INDEX(SPLIT($R20,""/""),2))-VALUE(INDEX(SPLIT($R20,""/""),1))&gt;0,
    ""LING faltam ""&amp;(VALUE(INDEX(SPL"&amp;"IT($R20,""/""),2))-VALUE(INDEX(SPLIT($R20,""/""),1))),
  """")
 )
)
"),"ECO faltam 1")</f>
        <v>ECO faltam 1</v>
      </c>
      <c r="W20" s="6">
        <f>IFERROR(__xludf.DUMMYFUNCTION(" (VALUE(INDEX(SPLIT(L20,""/""),2))-VALUE(INDEX(SPLIT(L20,""/""),1)))
+ (VALUE(INDEX(SPLIT(O20,""/""),2))-VALUE(INDEX(SPLIT(O20,""/""),1)))
+ (VALUE(INDEX(SPLIT(R20,""/""),2))-VALUE(INDEX(SPLIT(R20,""/""),1)))
"),1.0)</f>
        <v>1</v>
      </c>
      <c r="X20" s="6" t="s">
        <v>488</v>
      </c>
      <c r="Y20" s="6" t="s">
        <v>489</v>
      </c>
      <c r="Z20" s="6" t="s">
        <v>490</v>
      </c>
      <c r="AA20" s="6" t="s">
        <v>491</v>
      </c>
    </row>
    <row r="21" ht="16.5" customHeight="1">
      <c r="A21" s="34"/>
      <c r="B21" s="35" t="str">
        <f>IFERROR(
"DOM  M["&amp;VLOOKUP($A20,Projetos!$A:$L,4,FALSE)&amp;"] S["&amp;VLOOKUP($A20,Projetos!$A:$L,5,FALSE)&amp;"] C["&amp;VLOOKUP($A20,Projetos!$A:$L,6,FALSE)&amp;"]"&amp;CHAR(10)&amp;
"ECO  M["&amp;VLOOKUP($A20,Projetos!$A:$L,7,FALSE)&amp;"] S["&amp;VLOOKUP($A20,Projetos!$A:$L,8,FALSE)&amp;"] C["&amp;VLOOKUP($A20,Projetos!$A:$L,9,FALSE)&amp;"]"&amp;CHAR(10)&amp;
"LING M["&amp;VLOOKUP($A20,Projetos!$A:$L,10,FALSE)&amp;"] S["&amp;VLOOKUP($A20,Projetos!$A:$L,11,FALSE)&amp;"] C["&amp;VLOOKUP($A20,Projetos!$A:$L,12,FALSE)&amp;"]"
,"")
</f>
        <v>DOM  M[Web] S[Cloud] C[Desktop]
ECO  M[MongoDB] S[Angular, React] C[AWS Lambda]
LING M[JavaScript] S[TypeScript, Python] C[Java, C#]</v>
      </c>
      <c r="C21" s="6" t="s">
        <v>356</v>
      </c>
      <c r="D21" s="6" t="s">
        <v>121</v>
      </c>
      <c r="E21" s="6" t="s">
        <v>41</v>
      </c>
      <c r="F21" s="6" t="s">
        <v>170</v>
      </c>
      <c r="G21" s="6" t="s">
        <v>174</v>
      </c>
      <c r="H21" s="6">
        <v>3.0</v>
      </c>
      <c r="I21" s="6">
        <v>3.0</v>
      </c>
      <c r="J21" s="39"/>
      <c r="K21" s="6" t="s">
        <v>492</v>
      </c>
      <c r="L21" s="6" t="str">
        <f>IFERROR(__xludf.DUMMYFUNCTION("IFERROR(REGEXEXTRACT($K21,""DOM\s*M\((\d+/\d+)\)""),"""")
"),"1/1")</f>
        <v>1/1</v>
      </c>
      <c r="M21" s="6" t="str">
        <f>IFERROR(__xludf.DUMMYFUNCTION("IFERROR(REGEXEXTRACT($K21,""DOM.*?S\((\d+/\d+)\)""),"""")
"),"0/1")</f>
        <v>0/1</v>
      </c>
      <c r="N21" s="6" t="str">
        <f>IFERROR(__xludf.DUMMYFUNCTION("IFERROR(REGEXEXTRACT($K21,""DOM.*?C\((\d+/\d+)\)""),"""")
"),"0/1")</f>
        <v>0/1</v>
      </c>
      <c r="O21" s="6" t="str">
        <f>IFERROR(__xludf.DUMMYFUNCTION("IFERROR(REGEXEXTRACT($K21,""ECO\s*M\((\d+/\d+)\)""),"""")
"),"0/1")</f>
        <v>0/1</v>
      </c>
      <c r="P21" s="6" t="str">
        <f>IFERROR(__xludf.DUMMYFUNCTION("IFERROR(REGEXEXTRACT($K21,""ECO.*?S\((\d+/\d+)\)""),"""")
"),"1/2")</f>
        <v>1/2</v>
      </c>
      <c r="Q21" s="6" t="str">
        <f>IFERROR(__xludf.DUMMYFUNCTION("IFERROR(REGEXEXTRACT($K21,""ECO.*?C\((\d+/\d+)\)""),"""")
"),"0/1")</f>
        <v>0/1</v>
      </c>
      <c r="R21" s="6" t="str">
        <f>IFERROR(__xludf.DUMMYFUNCTION("IFERROR(REGEXEXTRACT($K21,""LING\s*M\((\d+/\d+)\)""),"""")
"),"1/1")</f>
        <v>1/1</v>
      </c>
      <c r="S21" s="6" t="str">
        <f>IFERROR(__xludf.DUMMYFUNCTION("IFERROR(REGEXEXTRACT($K21,""LING.*?S\((\d+/\d+)\)""),"""")
"),"0/2")</f>
        <v>0/2</v>
      </c>
      <c r="T21" s="6" t="str">
        <f>IFERROR(__xludf.DUMMYFUNCTION("IFERROR(REGEXEXTRACT($K21,""LING[^|]*C\(([0-9]+/[0-9]+)\)""),"""")
"),"0/2")</f>
        <v>0/2</v>
      </c>
      <c r="U21" s="6" t="b">
        <f>IFERROR(__xludf.DUMMYFUNCTION("AND(
  VALUE(INDEX(SPLIT(L21,""/""),1))=VALUE(INDEX(SPLIT(L21,""/""),2)),
  VALUE(INDEX(SPLIT(O21,""/""),1))=VALUE(INDEX(SPLIT(O21,""/""),2)),
  VALUE(INDEX(SPLIT(R21,""/""),1))=VALUE(INDEX(SPLIT(R21,""/""),2))
)
"),FALSE)</f>
        <v>0</v>
      </c>
      <c r="V21" s="6" t="str">
        <f>IFERROR(__xludf.DUMMYFUNCTION("IF($U21=TRUE,""OK"",
 TEXTJOIN("" | "",TRUE,
  IF(VALUE(INDEX(SPLIT($L21,""/""),2))-VALUE(INDEX(SPLIT($L21,""/""),1))&gt;0,
    ""DOM faltam ""&amp;(VALUE(INDEX(SPLIT($L21,""/""),2))-VALUE(INDEX(SPLIT($L21,""/""),1))),
  """"),
  IF(VALUE(INDEX(SPLIT($O21,""/"")"&amp;",2))-VALUE(INDEX(SPLIT($O21,""/""),1))&gt;0,
    ""ECO faltam ""&amp;(VALUE(INDEX(SPLIT($O21,""/""),2))-VALUE(INDEX(SPLIT($O21,""/""),1))),
  """"),
  IF(VALUE(INDEX(SPLIT($R21,""/""),2))-VALUE(INDEX(SPLIT($R21,""/""),1))&gt;0,
    ""LING faltam ""&amp;(VALUE(INDEX(SPL"&amp;"IT($R21,""/""),2))-VALUE(INDEX(SPLIT($R21,""/""),1))),
  """")
 )
)
"),"ECO faltam 1")</f>
        <v>ECO faltam 1</v>
      </c>
      <c r="W21" s="6">
        <f>IFERROR(__xludf.DUMMYFUNCTION(" (VALUE(INDEX(SPLIT(L21,""/""),2))-VALUE(INDEX(SPLIT(L21,""/""),1)))
+ (VALUE(INDEX(SPLIT(O21,""/""),2))-VALUE(INDEX(SPLIT(O21,""/""),1)))
+ (VALUE(INDEX(SPLIT(R21,""/""),2))-VALUE(INDEX(SPLIT(R21,""/""),1)))
"),1.0)</f>
        <v>1</v>
      </c>
      <c r="X21" s="6" t="s">
        <v>509</v>
      </c>
      <c r="Y21" s="6" t="s">
        <v>510</v>
      </c>
      <c r="Z21" s="6" t="s">
        <v>513</v>
      </c>
      <c r="AA21" s="6" t="s">
        <v>514</v>
      </c>
    </row>
    <row r="22" ht="16.5" customHeight="1">
      <c r="A22" s="34"/>
      <c r="C22" s="6" t="s">
        <v>363</v>
      </c>
      <c r="D22" s="6" t="s">
        <v>143</v>
      </c>
      <c r="E22" s="6" t="s">
        <v>150</v>
      </c>
      <c r="F22" s="6" t="s">
        <v>21</v>
      </c>
      <c r="G22" s="6" t="s">
        <v>128</v>
      </c>
      <c r="H22" s="6">
        <v>1.0</v>
      </c>
      <c r="I22" s="6">
        <v>1.0</v>
      </c>
      <c r="J22" s="39"/>
      <c r="K22" s="6" t="s">
        <v>516</v>
      </c>
      <c r="L22" s="6" t="str">
        <f>IFERROR(__xludf.DUMMYFUNCTION("IFERROR(REGEXEXTRACT($K22,""DOM\s*M\((\d+/\d+)\)""),"""")
"),"1/1")</f>
        <v>1/1</v>
      </c>
      <c r="M22" s="6" t="str">
        <f>IFERROR(__xludf.DUMMYFUNCTION("IFERROR(REGEXEXTRACT($K22,""DOM.*?S\((\d+/\d+)\)""),"""")
"),"1/1")</f>
        <v>1/1</v>
      </c>
      <c r="N22" s="6" t="str">
        <f>IFERROR(__xludf.DUMMYFUNCTION("IFERROR(REGEXEXTRACT($K22,""DOM.*?C\((\d+/\d+)\)""),"""")
"),"0/1")</f>
        <v>0/1</v>
      </c>
      <c r="O22" s="6" t="str">
        <f>IFERROR(__xludf.DUMMYFUNCTION("IFERROR(REGEXEXTRACT($K22,""ECO\s*M\((\d+/\d+)\)""),"""")
"),"0/1")</f>
        <v>0/1</v>
      </c>
      <c r="P22" s="6" t="str">
        <f>IFERROR(__xludf.DUMMYFUNCTION("IFERROR(REGEXEXTRACT($K22,""ECO.*?S\((\d+/\d+)\)""),"""")
"),"1/2")</f>
        <v>1/2</v>
      </c>
      <c r="Q22" s="6" t="str">
        <f>IFERROR(__xludf.DUMMYFUNCTION("IFERROR(REGEXEXTRACT($K22,""ECO.*?C\((\d+/\d+)\)""),"""")
"),"1/1")</f>
        <v>1/1</v>
      </c>
      <c r="R22" s="6" t="str">
        <f>IFERROR(__xludf.DUMMYFUNCTION("IFERROR(REGEXEXTRACT($K22,""LING\s*M\((\d+/\d+)\)""),"""")
"),"1/1")</f>
        <v>1/1</v>
      </c>
      <c r="S22" s="6" t="str">
        <f>IFERROR(__xludf.DUMMYFUNCTION("IFERROR(REGEXEXTRACT($K22,""LING.*?S\((\d+/\d+)\)""),"""")
"),"1/2")</f>
        <v>1/2</v>
      </c>
      <c r="T22" s="6" t="str">
        <f>IFERROR(__xludf.DUMMYFUNCTION("IFERROR(REGEXEXTRACT($K22,""LING[^|]*C\(([0-9]+/[0-9]+)\)""),"""")
"),"1/2")</f>
        <v>1/2</v>
      </c>
      <c r="U22" s="6" t="b">
        <f>IFERROR(__xludf.DUMMYFUNCTION("AND(
  VALUE(INDEX(SPLIT(L22,""/""),1))=VALUE(INDEX(SPLIT(L22,""/""),2)),
  VALUE(INDEX(SPLIT(O22,""/""),1))=VALUE(INDEX(SPLIT(O22,""/""),2)),
  VALUE(INDEX(SPLIT(R22,""/""),1))=VALUE(INDEX(SPLIT(R22,""/""),2))
)
"),FALSE)</f>
        <v>0</v>
      </c>
      <c r="V22" s="6" t="str">
        <f>IFERROR(__xludf.DUMMYFUNCTION("IF($U22=TRUE,""OK"",
 TEXTJOIN("" | "",TRUE,
  IF(VALUE(INDEX(SPLIT($L22,""/""),2))-VALUE(INDEX(SPLIT($L22,""/""),1))&gt;0,
    ""DOM faltam ""&amp;(VALUE(INDEX(SPLIT($L22,""/""),2))-VALUE(INDEX(SPLIT($L22,""/""),1))),
  """"),
  IF(VALUE(INDEX(SPLIT($O22,""/"")"&amp;",2))-VALUE(INDEX(SPLIT($O22,""/""),1))&gt;0,
    ""ECO faltam ""&amp;(VALUE(INDEX(SPLIT($O22,""/""),2))-VALUE(INDEX(SPLIT($O22,""/""),1))),
  """"),
  IF(VALUE(INDEX(SPLIT($R22,""/""),2))-VALUE(INDEX(SPLIT($R22,""/""),1))&gt;0,
    ""LING faltam ""&amp;(VALUE(INDEX(SPL"&amp;"IT($R22,""/""),2))-VALUE(INDEX(SPLIT($R22,""/""),1))),
  """")
 )
)
"),"ECO faltam 1")</f>
        <v>ECO faltam 1</v>
      </c>
      <c r="W22" s="6">
        <f>IFERROR(__xludf.DUMMYFUNCTION(" (VALUE(INDEX(SPLIT(L22,""/""),2))-VALUE(INDEX(SPLIT(L22,""/""),1)))
+ (VALUE(INDEX(SPLIT(O22,""/""),2))-VALUE(INDEX(SPLIT(O22,""/""),1)))
+ (VALUE(INDEX(SPLIT(R22,""/""),2))-VALUE(INDEX(SPLIT(R22,""/""),1)))
"),1.0)</f>
        <v>1</v>
      </c>
      <c r="X22" s="6" t="s">
        <v>517</v>
      </c>
      <c r="Y22" s="6" t="s">
        <v>518</v>
      </c>
      <c r="Z22" s="6" t="s">
        <v>519</v>
      </c>
      <c r="AA22" s="6" t="s">
        <v>520</v>
      </c>
    </row>
    <row r="23" ht="17.25" customHeight="1">
      <c r="A23" s="34"/>
      <c r="C23" s="6" t="s">
        <v>368</v>
      </c>
      <c r="D23" s="6" t="s">
        <v>217</v>
      </c>
      <c r="E23" s="6" t="s">
        <v>177</v>
      </c>
      <c r="F23" s="6" t="s">
        <v>90</v>
      </c>
      <c r="G23" s="6" t="s">
        <v>184</v>
      </c>
      <c r="H23" s="6">
        <v>3.0</v>
      </c>
      <c r="I23" s="6">
        <v>4.0</v>
      </c>
      <c r="J23" s="39"/>
      <c r="K23" s="6" t="s">
        <v>521</v>
      </c>
      <c r="L23" s="6" t="str">
        <f>IFERROR(__xludf.DUMMYFUNCTION("IFERROR(REGEXEXTRACT($K23,""DOM\s*M\((\d+/\d+)\)""),"""")
"),"1/1")</f>
        <v>1/1</v>
      </c>
      <c r="M23" s="6" t="str">
        <f>IFERROR(__xludf.DUMMYFUNCTION("IFERROR(REGEXEXTRACT($K23,""DOM.*?S\((\d+/\d+)\)""),"""")
"),"1/1")</f>
        <v>1/1</v>
      </c>
      <c r="N23" s="6" t="str">
        <f>IFERROR(__xludf.DUMMYFUNCTION("IFERROR(REGEXEXTRACT($K23,""DOM.*?C\((\d+/\d+)\)""),"""")
"),"0/1")</f>
        <v>0/1</v>
      </c>
      <c r="O23" s="6" t="str">
        <f>IFERROR(__xludf.DUMMYFUNCTION("IFERROR(REGEXEXTRACT($K23,""ECO\s*M\((\d+/\d+)\)""),"""")
"),"0/1")</f>
        <v>0/1</v>
      </c>
      <c r="P23" s="6" t="str">
        <f>IFERROR(__xludf.DUMMYFUNCTION("IFERROR(REGEXEXTRACT($K23,""ECO.*?S\((\d+/\d+)\)""),"""")
"),"1/2")</f>
        <v>1/2</v>
      </c>
      <c r="Q23" s="6" t="str">
        <f>IFERROR(__xludf.DUMMYFUNCTION("IFERROR(REGEXEXTRACT($K23,""ECO.*?C\((\d+/\d+)\)""),"""")
"),"1/1")</f>
        <v>1/1</v>
      </c>
      <c r="R23" s="6" t="str">
        <f>IFERROR(__xludf.DUMMYFUNCTION("IFERROR(REGEXEXTRACT($K23,""LING\s*M\((\d+/\d+)\)""),"""")
"),"0/1")</f>
        <v>0/1</v>
      </c>
      <c r="S23" s="6" t="str">
        <f>IFERROR(__xludf.DUMMYFUNCTION("IFERROR(REGEXEXTRACT($K23,""LING.*?S\((\d+/\d+)\)""),"""")
"),"2/2")</f>
        <v>2/2</v>
      </c>
      <c r="T23" s="6" t="str">
        <f>IFERROR(__xludf.DUMMYFUNCTION("IFERROR(REGEXEXTRACT($K23,""LING[^|]*C\(([0-9]+/[0-9]+)\)""),"""")
"),"0/2")</f>
        <v>0/2</v>
      </c>
      <c r="U23" s="6" t="b">
        <f>IFERROR(__xludf.DUMMYFUNCTION("AND(
  VALUE(INDEX(SPLIT(L23,""/""),1))=VALUE(INDEX(SPLIT(L23,""/""),2)),
  VALUE(INDEX(SPLIT(O23,""/""),1))=VALUE(INDEX(SPLIT(O23,""/""),2)),
  VALUE(INDEX(SPLIT(R23,""/""),1))=VALUE(INDEX(SPLIT(R23,""/""),2))
)
"),FALSE)</f>
        <v>0</v>
      </c>
      <c r="V23" s="6" t="str">
        <f>IFERROR(__xludf.DUMMYFUNCTION("IF($U23=TRUE,""OK"",
 TEXTJOIN("" | "",TRUE,
  IF(VALUE(INDEX(SPLIT($L23,""/""),2))-VALUE(INDEX(SPLIT($L23,""/""),1))&gt;0,
    ""DOM faltam ""&amp;(VALUE(INDEX(SPLIT($L23,""/""),2))-VALUE(INDEX(SPLIT($L23,""/""),1))),
  """"),
  IF(VALUE(INDEX(SPLIT($O23,""/"")"&amp;",2))-VALUE(INDEX(SPLIT($O23,""/""),1))&gt;0,
    ""ECO faltam ""&amp;(VALUE(INDEX(SPLIT($O23,""/""),2))-VALUE(INDEX(SPLIT($O23,""/""),1))),
  """"),
  IF(VALUE(INDEX(SPLIT($R23,""/""),2))-VALUE(INDEX(SPLIT($R23,""/""),1))&gt;0,
    ""LING faltam ""&amp;(VALUE(INDEX(SPL"&amp;"IT($R23,""/""),2))-VALUE(INDEX(SPLIT($R23,""/""),1))),
  """")
 )
)
"),"ECO faltam 1 | LING faltam 1")</f>
        <v>ECO faltam 1 | LING faltam 1</v>
      </c>
      <c r="W23" s="6">
        <f>IFERROR(__xludf.DUMMYFUNCTION(" (VALUE(INDEX(SPLIT(L23,""/""),2))-VALUE(INDEX(SPLIT(L23,""/""),1)))
+ (VALUE(INDEX(SPLIT(O23,""/""),2))-VALUE(INDEX(SPLIT(O23,""/""),1)))
+ (VALUE(INDEX(SPLIT(R23,""/""),2))-VALUE(INDEX(SPLIT(R23,""/""),1)))
"),2.0)</f>
        <v>2</v>
      </c>
      <c r="X23" s="6" t="s">
        <v>534</v>
      </c>
      <c r="Y23" s="6" t="s">
        <v>536</v>
      </c>
      <c r="Z23" s="6" t="s">
        <v>540</v>
      </c>
      <c r="AA23" s="6" t="s">
        <v>544</v>
      </c>
    </row>
    <row r="24" ht="15.75" customHeight="1">
      <c r="A24" s="40"/>
      <c r="B24" s="41"/>
      <c r="C24" s="6" t="s">
        <v>372</v>
      </c>
      <c r="D24" s="42" t="s">
        <v>155</v>
      </c>
      <c r="E24" s="42" t="s">
        <v>206</v>
      </c>
      <c r="F24" s="42" t="s">
        <v>51</v>
      </c>
      <c r="G24" s="42" t="s">
        <v>251</v>
      </c>
      <c r="H24" s="42">
        <v>4.0</v>
      </c>
      <c r="I24" s="42">
        <v>5.0</v>
      </c>
      <c r="J24" s="45"/>
      <c r="K24" s="6" t="s">
        <v>578</v>
      </c>
      <c r="L24" s="6" t="str">
        <f>IFERROR(__xludf.DUMMYFUNCTION("IFERROR(REGEXEXTRACT($K24,""DOM\s*M\((\d+/\d+)\)""),"""")
"),"1/1")</f>
        <v>1/1</v>
      </c>
      <c r="M24" s="6" t="str">
        <f>IFERROR(__xludf.DUMMYFUNCTION("IFERROR(REGEXEXTRACT($K24,""DOM.*?S\((\d+/\d+)\)""),"""")
"),"0/1")</f>
        <v>0/1</v>
      </c>
      <c r="N24" s="6" t="str">
        <f>IFERROR(__xludf.DUMMYFUNCTION("IFERROR(REGEXEXTRACT($K24,""DOM.*?C\((\d+/\d+)\)""),"""")
"),"0/1")</f>
        <v>0/1</v>
      </c>
      <c r="O24" s="6" t="str">
        <f>IFERROR(__xludf.DUMMYFUNCTION("IFERROR(REGEXEXTRACT($K24,""ECO\s*M\((\d+/\d+)\)""),"""")
"),"1/1")</f>
        <v>1/1</v>
      </c>
      <c r="P24" s="6" t="str">
        <f>IFERROR(__xludf.DUMMYFUNCTION("IFERROR(REGEXEXTRACT($K24,""ECO.*?S\((\d+/\d+)\)""),"""")
"),"0/2")</f>
        <v>0/2</v>
      </c>
      <c r="Q24" s="6" t="str">
        <f>IFERROR(__xludf.DUMMYFUNCTION("IFERROR(REGEXEXTRACT($K24,""ECO.*?C\((\d+/\d+)\)""),"""")
"),"0/1")</f>
        <v>0/1</v>
      </c>
      <c r="R24" s="6" t="str">
        <f>IFERROR(__xludf.DUMMYFUNCTION("IFERROR(REGEXEXTRACT($K24,""LING\s*M\((\d+/\d+)\)""),"""")
"),"1/1")</f>
        <v>1/1</v>
      </c>
      <c r="S24" s="6" t="str">
        <f>IFERROR(__xludf.DUMMYFUNCTION("IFERROR(REGEXEXTRACT($K24,""LING.*?S\((\d+/\d+)\)""),"""")
"),"0/2")</f>
        <v>0/2</v>
      </c>
      <c r="T24" s="6" t="str">
        <f>IFERROR(__xludf.DUMMYFUNCTION("IFERROR(REGEXEXTRACT($K24,""LING[^|]*C\(([0-9]+/[0-9]+)\)""),"""")
"),"0/2")</f>
        <v>0/2</v>
      </c>
      <c r="U24" s="6" t="b">
        <f>IFERROR(__xludf.DUMMYFUNCTION("AND(
  VALUE(INDEX(SPLIT(L24,""/""),1))=VALUE(INDEX(SPLIT(L24,""/""),2)),
  VALUE(INDEX(SPLIT(O24,""/""),1))=VALUE(INDEX(SPLIT(O24,""/""),2)),
  VALUE(INDEX(SPLIT(R24,""/""),1))=VALUE(INDEX(SPLIT(R24,""/""),2))
)
"),TRUE)</f>
        <v>1</v>
      </c>
      <c r="V24" s="6" t="str">
        <f>IFERROR(__xludf.DUMMYFUNCTION("IF($U24=TRUE,""OK"",
 TEXTJOIN("" | "",TRUE,
  IF(VALUE(INDEX(SPLIT($L24,""/""),2))-VALUE(INDEX(SPLIT($L24,""/""),1))&gt;0,
    ""DOM faltam ""&amp;(VALUE(INDEX(SPLIT($L24,""/""),2))-VALUE(INDEX(SPLIT($L24,""/""),1))),
  """"),
  IF(VALUE(INDEX(SPLIT($O24,""/"")"&amp;",2))-VALUE(INDEX(SPLIT($O24,""/""),1))&gt;0,
    ""ECO faltam ""&amp;(VALUE(INDEX(SPLIT($O24,""/""),2))-VALUE(INDEX(SPLIT($O24,""/""),1))),
  """"),
  IF(VALUE(INDEX(SPLIT($R24,""/""),2))-VALUE(INDEX(SPLIT($R24,""/""),1))&gt;0,
    ""LING faltam ""&amp;(VALUE(INDEX(SPL"&amp;"IT($R24,""/""),2))-VALUE(INDEX(SPLIT($R24,""/""),1))),
  """")
 )
)
"),"OK")</f>
        <v>OK</v>
      </c>
      <c r="W24" s="6">
        <f>IFERROR(__xludf.DUMMYFUNCTION(" (VALUE(INDEX(SPLIT(L24,""/""),2))-VALUE(INDEX(SPLIT(L24,""/""),1)))
+ (VALUE(INDEX(SPLIT(O24,""/""),2))-VALUE(INDEX(SPLIT(O24,""/""),1)))
+ (VALUE(INDEX(SPLIT(R24,""/""),2))-VALUE(INDEX(SPLIT(R24,""/""),1)))
"),0.0)</f>
        <v>0</v>
      </c>
      <c r="X24" s="6" t="s">
        <v>602</v>
      </c>
      <c r="Y24" s="6" t="s">
        <v>606</v>
      </c>
      <c r="Z24" s="6" t="s">
        <v>612</v>
      </c>
      <c r="AA24" s="6" t="s">
        <v>614</v>
      </c>
    </row>
    <row r="25" ht="18.75" customHeight="1">
      <c r="A25" s="43"/>
      <c r="J25" s="39"/>
      <c r="L25" s="6" t="str">
        <f>IFERROR(__xludf.DUMMYFUNCTION("IFERROR(REGEXEXTRACT($K25,""DOM\s*M\((\d+/\d+)\)""),"""")
"),"")</f>
        <v/>
      </c>
      <c r="M25" s="6" t="str">
        <f>IFERROR(__xludf.DUMMYFUNCTION("IFERROR(REGEXEXTRACT($K25,""DOM.*?S\((\d+/\d+)\)""),"""")
"),"")</f>
        <v/>
      </c>
      <c r="N25" s="6" t="str">
        <f>IFERROR(__xludf.DUMMYFUNCTION("IFERROR(REGEXEXTRACT($K25,""DOM.*?C\((\d+/\d+)\)""),"""")
"),"")</f>
        <v/>
      </c>
      <c r="O25" s="6" t="str">
        <f>IFERROR(__xludf.DUMMYFUNCTION("IFERROR(REGEXEXTRACT($K25,""ECO\s*M\((\d+/\d+)\)""),"""")
"),"")</f>
        <v/>
      </c>
      <c r="P25" s="6" t="str">
        <f>IFERROR(__xludf.DUMMYFUNCTION("IFERROR(REGEXEXTRACT($K25,""ECO.*?S\((\d+/\d+)\)""),"""")
"),"")</f>
        <v/>
      </c>
      <c r="Q25" s="6" t="str">
        <f>IFERROR(__xludf.DUMMYFUNCTION("IFERROR(REGEXEXTRACT($K25,""ECO.*?C\((\d+/\d+)\)""),"""")
"),"")</f>
        <v/>
      </c>
      <c r="R25" s="6" t="str">
        <f>IFERROR(__xludf.DUMMYFUNCTION("IFERROR(REGEXEXTRACT($K25,""LING\s*M\((\d+/\d+)\)""),"""")
"),"")</f>
        <v/>
      </c>
      <c r="S25" s="6" t="str">
        <f>IFERROR(__xludf.DUMMYFUNCTION("IFERROR(REGEXEXTRACT($K25,""LING.*?S\((\d+/\d+)\)""),"""")
"),"")</f>
        <v/>
      </c>
      <c r="T25" s="6" t="str">
        <f>IFERROR(__xludf.DUMMYFUNCTION("IFERROR(REGEXEXTRACT($K25,""LING[^|]*C\(([0-9]+/[0-9]+)\)""),"""")
"),"")</f>
        <v/>
      </c>
    </row>
    <row r="26" ht="18.75" customHeight="1">
      <c r="A26" s="25" t="s">
        <v>142</v>
      </c>
      <c r="B26" s="29" t="str">
        <f>IFERROR(VLOOKUP(A26,Projetos!$A$2:$C$7,2,FALSE),"")
</f>
        <v>Critical Web + Cloud Platform</v>
      </c>
      <c r="C26" s="6" t="s">
        <v>380</v>
      </c>
      <c r="D26" s="30" t="s">
        <v>135</v>
      </c>
      <c r="E26" s="30" t="s">
        <v>176</v>
      </c>
      <c r="F26" s="30" t="s">
        <v>242</v>
      </c>
      <c r="G26" s="30" t="s">
        <v>133</v>
      </c>
      <c r="H26" s="30">
        <v>5.0</v>
      </c>
      <c r="I26" s="29"/>
      <c r="J26" s="31"/>
      <c r="K26" s="6" t="s">
        <v>631</v>
      </c>
      <c r="L26" s="6" t="str">
        <f>IFERROR(__xludf.DUMMYFUNCTION("IFERROR(REGEXEXTRACT($K26,""DOM\s*M\((\d+/\d+)\)""),"""")
"),"1/2")</f>
        <v>1/2</v>
      </c>
      <c r="M26" s="6" t="str">
        <f>IFERROR(__xludf.DUMMYFUNCTION("IFERROR(REGEXEXTRACT($K26,""DOM.*?S\((\d+/\d+)\)""),"""")
"),"0/1")</f>
        <v>0/1</v>
      </c>
      <c r="N26" s="6" t="str">
        <f>IFERROR(__xludf.DUMMYFUNCTION("IFERROR(REGEXEXTRACT($K26,""DOM.*?C\((\d+/\d+)\)""),"""")
"),"1/1")</f>
        <v>1/1</v>
      </c>
      <c r="O26" s="6" t="str">
        <f>IFERROR(__xludf.DUMMYFUNCTION("IFERROR(REGEXEXTRACT($K26,""ECO\s*M\((\d+/\d+)\)""),"""")
"),"1/3")</f>
        <v>1/3</v>
      </c>
      <c r="P26" s="6" t="str">
        <f>IFERROR(__xludf.DUMMYFUNCTION("IFERROR(REGEXEXTRACT($K26,""ECO.*?S\((\d+/\d+)\)""),"""")
"),"1/1")</f>
        <v>1/1</v>
      </c>
      <c r="Q26" s="6" t="str">
        <f>IFERROR(__xludf.DUMMYFUNCTION("IFERROR(REGEXEXTRACT($K26,""ECO.*?C\((\d+/\d+)\)""),"""")
"),"0/1")</f>
        <v>0/1</v>
      </c>
      <c r="R26" s="6" t="str">
        <f>IFERROR(__xludf.DUMMYFUNCTION("IFERROR(REGEXEXTRACT($K26,""LING\s*M\((\d+/\d+)\)""),"""")
"),"1/3")</f>
        <v>1/3</v>
      </c>
      <c r="S26" s="6" t="str">
        <f>IFERROR(__xludf.DUMMYFUNCTION("IFERROR(REGEXEXTRACT($K26,""LING.*?S\((\d+/\d+)\)""),"""")
"),"2/2")</f>
        <v>2/2</v>
      </c>
      <c r="T26" s="6" t="str">
        <f>IFERROR(__xludf.DUMMYFUNCTION("IFERROR(REGEXEXTRACT($K26,""LING[^|]*C\(([0-9]+/[0-9]+)\)""),"""")
"),"0/2")</f>
        <v>0/2</v>
      </c>
      <c r="U26" s="6" t="b">
        <f>IFERROR(__xludf.DUMMYFUNCTION("AND(
  VALUE(INDEX(SPLIT(L26,""/""),1))=VALUE(INDEX(SPLIT(L26,""/""),2)),
  VALUE(INDEX(SPLIT(O26,""/""),1))=VALUE(INDEX(SPLIT(O26,""/""),2)),
  VALUE(INDEX(SPLIT(R26,""/""),1))=VALUE(INDEX(SPLIT(R26,""/""),2))
)
"),FALSE)</f>
        <v>0</v>
      </c>
      <c r="V26" s="6" t="str">
        <f>IFERROR(__xludf.DUMMYFUNCTION("IF($U26=TRUE,""OK"",
 TEXTJOIN("" | "",TRUE,
  IF(VALUE(INDEX(SPLIT($L26,""/""),2))-VALUE(INDEX(SPLIT($L26,""/""),1))&gt;0,
    ""DOM faltam ""&amp;(VALUE(INDEX(SPLIT($L26,""/""),2))-VALUE(INDEX(SPLIT($L26,""/""),1))),
  """"),
  IF(VALUE(INDEX(SPLIT($O26,""/"")"&amp;",2))-VALUE(INDEX(SPLIT($O26,""/""),1))&gt;0,
    ""ECO faltam ""&amp;(VALUE(INDEX(SPLIT($O26,""/""),2))-VALUE(INDEX(SPLIT($O26,""/""),1))),
  """"),
  IF(VALUE(INDEX(SPLIT($R26,""/""),2))-VALUE(INDEX(SPLIT($R26,""/""),1))&gt;0,
    ""LING faltam ""&amp;(VALUE(INDEX(SPL"&amp;"IT($R26,""/""),2))-VALUE(INDEX(SPLIT($R26,""/""),1))),
  """")
 )
)
"),"DOM faltam 1 | ECO faltam 2 | LING faltam 2")</f>
        <v>DOM faltam 1 | ECO faltam 2 | LING faltam 2</v>
      </c>
      <c r="W26" s="6">
        <f>IFERROR(__xludf.DUMMYFUNCTION(" (VALUE(INDEX(SPLIT(L26,""/""),2))-VALUE(INDEX(SPLIT(L26,""/""),1)))
+ (VALUE(INDEX(SPLIT(O26,""/""),2))-VALUE(INDEX(SPLIT(O26,""/""),1)))
+ (VALUE(INDEX(SPLIT(R26,""/""),2))-VALUE(INDEX(SPLIT(R26,""/""),1)))
"),5.0)</f>
        <v>5</v>
      </c>
      <c r="X26" s="6" t="s">
        <v>661</v>
      </c>
      <c r="Y26" s="6" t="s">
        <v>663</v>
      </c>
      <c r="Z26" s="6" t="s">
        <v>664</v>
      </c>
      <c r="AA26" s="6" t="s">
        <v>666</v>
      </c>
    </row>
    <row r="27" ht="17.25" customHeight="1">
      <c r="A27" s="34"/>
      <c r="B27" s="72" t="s">
        <v>386</v>
      </c>
      <c r="C27" s="6" t="s">
        <v>387</v>
      </c>
      <c r="D27" s="6" t="s">
        <v>217</v>
      </c>
      <c r="E27" s="6" t="s">
        <v>249</v>
      </c>
      <c r="F27" s="6" t="s">
        <v>226</v>
      </c>
      <c r="G27" s="6" t="s">
        <v>186</v>
      </c>
      <c r="H27" s="6">
        <v>2.0</v>
      </c>
      <c r="I27" s="73"/>
      <c r="J27" s="39"/>
      <c r="K27" s="6" t="s">
        <v>680</v>
      </c>
      <c r="L27" s="6" t="str">
        <f>IFERROR(__xludf.DUMMYFUNCTION("IFERROR(REGEXEXTRACT($K27,""DOM\s*M\((\d+/\d+)\)""),"""")
"),"2/2")</f>
        <v>2/2</v>
      </c>
      <c r="M27" s="6" t="str">
        <f>IFERROR(__xludf.DUMMYFUNCTION("IFERROR(REGEXEXTRACT($K27,""DOM.*?S\((\d+/\d+)\)""),"""")
"),"1/1")</f>
        <v>1/1</v>
      </c>
      <c r="N27" s="6" t="str">
        <f>IFERROR(__xludf.DUMMYFUNCTION("IFERROR(REGEXEXTRACT($K27,""DOM.*?C\((\d+/\d+)\)""),"""")
"),"0/1")</f>
        <v>0/1</v>
      </c>
      <c r="O27" s="6" t="str">
        <f>IFERROR(__xludf.DUMMYFUNCTION("IFERROR(REGEXEXTRACT($K27,""ECO\s*M\((\d+/\d+)\)""),"""")
"),"2/3")</f>
        <v>2/3</v>
      </c>
      <c r="P27" s="6" t="str">
        <f>IFERROR(__xludf.DUMMYFUNCTION("IFERROR(REGEXEXTRACT($K27,""ECO.*?S\((\d+/\d+)\)""),"""")
"),"0/1")</f>
        <v>0/1</v>
      </c>
      <c r="Q27" s="6" t="str">
        <f>IFERROR(__xludf.DUMMYFUNCTION("IFERROR(REGEXEXTRACT($K27,""ECO.*?C\((\d+/\d+)\)""),"""")
"),"1/1")</f>
        <v>1/1</v>
      </c>
      <c r="R27" s="6" t="str">
        <f>IFERROR(__xludf.DUMMYFUNCTION("IFERROR(REGEXEXTRACT($K27,""LING\s*M\((\d+/\d+)\)""),"""")
"),"2/3")</f>
        <v>2/3</v>
      </c>
      <c r="S27" s="6" t="str">
        <f>IFERROR(__xludf.DUMMYFUNCTION("IFERROR(REGEXEXTRACT($K27,""LING.*?S\((\d+/\d+)\)""),"""")
"),"0/2")</f>
        <v>0/2</v>
      </c>
      <c r="T27" s="6" t="str">
        <f>IFERROR(__xludf.DUMMYFUNCTION("IFERROR(REGEXEXTRACT($K27,""LING[^|]*C\(([0-9]+/[0-9]+)\)""),"""")
"),"1/2")</f>
        <v>1/2</v>
      </c>
      <c r="U27" s="6" t="b">
        <f>IFERROR(__xludf.DUMMYFUNCTION("AND(
  VALUE(INDEX(SPLIT(L27,""/""),1))=VALUE(INDEX(SPLIT(L27,""/""),2)),
  VALUE(INDEX(SPLIT(O27,""/""),1))=VALUE(INDEX(SPLIT(O27,""/""),2)),
  VALUE(INDEX(SPLIT(R27,""/""),1))=VALUE(INDEX(SPLIT(R27,""/""),2))
)
"),FALSE)</f>
        <v>0</v>
      </c>
      <c r="V27" s="6" t="str">
        <f>IFERROR(__xludf.DUMMYFUNCTION("IF($U27=TRUE,""OK"",
 TEXTJOIN("" | "",TRUE,
  IF(VALUE(INDEX(SPLIT($L27,""/""),2))-VALUE(INDEX(SPLIT($L27,""/""),1))&gt;0,
    ""DOM faltam ""&amp;(VALUE(INDEX(SPLIT($L27,""/""),2))-VALUE(INDEX(SPLIT($L27,""/""),1))),
  """"),
  IF(VALUE(INDEX(SPLIT($O27,""/"")"&amp;",2))-VALUE(INDEX(SPLIT($O27,""/""),1))&gt;0,
    ""ECO faltam ""&amp;(VALUE(INDEX(SPLIT($O27,""/""),2))-VALUE(INDEX(SPLIT($O27,""/""),1))),
  """"),
  IF(VALUE(INDEX(SPLIT($R27,""/""),2))-VALUE(INDEX(SPLIT($R27,""/""),1))&gt;0,
    ""LING faltam ""&amp;(VALUE(INDEX(SPL"&amp;"IT($R27,""/""),2))-VALUE(INDEX(SPLIT($R27,""/""),1))),
  """")
 )
)
"),"ECO faltam 1 | LING faltam 1")</f>
        <v>ECO faltam 1 | LING faltam 1</v>
      </c>
      <c r="W27" s="6">
        <f>IFERROR(__xludf.DUMMYFUNCTION(" (VALUE(INDEX(SPLIT(L27,""/""),2))-VALUE(INDEX(SPLIT(L27,""/""),1)))
+ (VALUE(INDEX(SPLIT(O27,""/""),2))-VALUE(INDEX(SPLIT(O27,""/""),1)))
+ (VALUE(INDEX(SPLIT(R27,""/""),2))-VALUE(INDEX(SPLIT(R27,""/""),1)))
"),2.0)</f>
        <v>2</v>
      </c>
      <c r="X27" s="6" t="s">
        <v>686</v>
      </c>
      <c r="Y27" s="6" t="s">
        <v>687</v>
      </c>
      <c r="Z27" s="6" t="s">
        <v>688</v>
      </c>
      <c r="AA27" s="6" t="s">
        <v>689</v>
      </c>
    </row>
    <row r="28" ht="17.25" customHeight="1">
      <c r="A28" s="34"/>
      <c r="C28" s="6" t="s">
        <v>395</v>
      </c>
      <c r="D28" s="6" t="s">
        <v>191</v>
      </c>
      <c r="E28" s="6" t="s">
        <v>220</v>
      </c>
      <c r="F28" s="6" t="s">
        <v>199</v>
      </c>
      <c r="G28" s="6" t="s">
        <v>173</v>
      </c>
      <c r="H28" s="6">
        <v>3.0</v>
      </c>
      <c r="I28" s="73"/>
      <c r="J28" s="39"/>
      <c r="K28" s="6" t="s">
        <v>692</v>
      </c>
      <c r="L28" s="6" t="str">
        <f>IFERROR(__xludf.DUMMYFUNCTION("IFERROR(REGEXEXTRACT($K28,""DOM\s*M\((\d+/\d+)\)""),"""")
"),"2/2")</f>
        <v>2/2</v>
      </c>
      <c r="M28" s="6" t="str">
        <f>IFERROR(__xludf.DUMMYFUNCTION("IFERROR(REGEXEXTRACT($K28,""DOM.*?S\((\d+/\d+)\)""),"""")
"),"1/1")</f>
        <v>1/1</v>
      </c>
      <c r="N28" s="6" t="str">
        <f>IFERROR(__xludf.DUMMYFUNCTION("IFERROR(REGEXEXTRACT($K28,""DOM.*?C\((\d+/\d+)\)""),"""")
"),"0/1")</f>
        <v>0/1</v>
      </c>
      <c r="O28" s="6" t="str">
        <f>IFERROR(__xludf.DUMMYFUNCTION("IFERROR(REGEXEXTRACT($K28,""ECO\s*M\((\d+/\d+)\)""),"""")
"),"2/3")</f>
        <v>2/3</v>
      </c>
      <c r="P28" s="6" t="str">
        <f>IFERROR(__xludf.DUMMYFUNCTION("IFERROR(REGEXEXTRACT($K28,""ECO.*?S\((\d+/\d+)\)""),"""")
"),"0/1")</f>
        <v>0/1</v>
      </c>
      <c r="Q28" s="6" t="str">
        <f>IFERROR(__xludf.DUMMYFUNCTION("IFERROR(REGEXEXTRACT($K28,""ECO.*?C\((\d+/\d+)\)""),"""")
"),"1/1")</f>
        <v>1/1</v>
      </c>
      <c r="R28" s="6" t="str">
        <f>IFERROR(__xludf.DUMMYFUNCTION("IFERROR(REGEXEXTRACT($K28,""LING\s*M\((\d+/\d+)\)""),"""")
"),"2/3")</f>
        <v>2/3</v>
      </c>
      <c r="S28" s="6" t="str">
        <f>IFERROR(__xludf.DUMMYFUNCTION("IFERROR(REGEXEXTRACT($K28,""LING.*?S\((\d+/\d+)\)""),"""")
"),"0/2")</f>
        <v>0/2</v>
      </c>
      <c r="T28" s="6" t="str">
        <f>IFERROR(__xludf.DUMMYFUNCTION("IFERROR(REGEXEXTRACT($K28,""LING[^|]*C\(([0-9]+/[0-9]+)\)""),"""")
"),"2/2")</f>
        <v>2/2</v>
      </c>
      <c r="U28" s="6" t="b">
        <f>IFERROR(__xludf.DUMMYFUNCTION("AND(
  VALUE(INDEX(SPLIT(L28,""/""),1))=VALUE(INDEX(SPLIT(L28,""/""),2)),
  VALUE(INDEX(SPLIT(O28,""/""),1))=VALUE(INDEX(SPLIT(O28,""/""),2)),
  VALUE(INDEX(SPLIT(R28,""/""),1))=VALUE(INDEX(SPLIT(R28,""/""),2))
)
"),FALSE)</f>
        <v>0</v>
      </c>
      <c r="V28" s="6" t="str">
        <f>IFERROR(__xludf.DUMMYFUNCTION("IF($U28=TRUE,""OK"",
 TEXTJOIN("" | "",TRUE,
  IF(VALUE(INDEX(SPLIT($L28,""/""),2))-VALUE(INDEX(SPLIT($L28,""/""),1))&gt;0,
    ""DOM faltam ""&amp;(VALUE(INDEX(SPLIT($L28,""/""),2))-VALUE(INDEX(SPLIT($L28,""/""),1))),
  """"),
  IF(VALUE(INDEX(SPLIT($O28,""/"")"&amp;",2))-VALUE(INDEX(SPLIT($O28,""/""),1))&gt;0,
    ""ECO faltam ""&amp;(VALUE(INDEX(SPLIT($O28,""/""),2))-VALUE(INDEX(SPLIT($O28,""/""),1))),
  """"),
  IF(VALUE(INDEX(SPLIT($R28,""/""),2))-VALUE(INDEX(SPLIT($R28,""/""),1))&gt;0,
    ""LING faltam ""&amp;(VALUE(INDEX(SPL"&amp;"IT($R28,""/""),2))-VALUE(INDEX(SPLIT($R28,""/""),1))),
  """")
 )
)
"),"ECO faltam 1 | LING faltam 1")</f>
        <v>ECO faltam 1 | LING faltam 1</v>
      </c>
      <c r="W28" s="6">
        <f>IFERROR(__xludf.DUMMYFUNCTION(" (VALUE(INDEX(SPLIT(L28,""/""),2))-VALUE(INDEX(SPLIT(L28,""/""),1)))
+ (VALUE(INDEX(SPLIT(O28,""/""),2))-VALUE(INDEX(SPLIT(O28,""/""),1)))
+ (VALUE(INDEX(SPLIT(R28,""/""),2))-VALUE(INDEX(SPLIT(R28,""/""),1)))
"),2.0)</f>
        <v>2</v>
      </c>
      <c r="X28" s="6" t="s">
        <v>697</v>
      </c>
      <c r="Y28" s="6" t="s">
        <v>698</v>
      </c>
      <c r="Z28" s="6" t="s">
        <v>699</v>
      </c>
      <c r="AA28" s="6" t="s">
        <v>700</v>
      </c>
    </row>
    <row r="29" ht="18.75" customHeight="1">
      <c r="A29" s="34"/>
      <c r="C29" s="6" t="s">
        <v>400</v>
      </c>
      <c r="D29" s="6" t="s">
        <v>194</v>
      </c>
      <c r="E29" s="6" t="s">
        <v>38</v>
      </c>
      <c r="F29" s="6" t="s">
        <v>139</v>
      </c>
      <c r="G29" s="6" t="s">
        <v>233</v>
      </c>
      <c r="H29" s="6">
        <v>2.0</v>
      </c>
      <c r="I29" s="73"/>
      <c r="J29" s="39"/>
      <c r="K29" s="6" t="s">
        <v>704</v>
      </c>
      <c r="L29" s="6" t="str">
        <f>IFERROR(__xludf.DUMMYFUNCTION("IFERROR(REGEXEXTRACT($K29,""DOM\s*M\((\d+/\d+)\)""),"""")
"),"1/2")</f>
        <v>1/2</v>
      </c>
      <c r="M29" s="6" t="str">
        <f>IFERROR(__xludf.DUMMYFUNCTION("IFERROR(REGEXEXTRACT($K29,""DOM.*?S\((\d+/\d+)\)""),"""")
"),"1/1")</f>
        <v>1/1</v>
      </c>
      <c r="N29" s="6" t="str">
        <f>IFERROR(__xludf.DUMMYFUNCTION("IFERROR(REGEXEXTRACT($K29,""DOM.*?C\((\d+/\d+)\)""),"""")
"),"0/1")</f>
        <v>0/1</v>
      </c>
      <c r="O29" s="6" t="str">
        <f>IFERROR(__xludf.DUMMYFUNCTION("IFERROR(REGEXEXTRACT($K29,""ECO\s*M\((\d+/\d+)\)""),"""")
"),"1/3")</f>
        <v>1/3</v>
      </c>
      <c r="P29" s="6" t="str">
        <f>IFERROR(__xludf.DUMMYFUNCTION("IFERROR(REGEXEXTRACT($K29,""ECO.*?S\((\d+/\d+)\)""),"""")
"),"0/1")</f>
        <v>0/1</v>
      </c>
      <c r="Q29" s="6" t="str">
        <f>IFERROR(__xludf.DUMMYFUNCTION("IFERROR(REGEXEXTRACT($K29,""ECO.*?C\((\d+/\d+)\)""),"""")
"),"1/1")</f>
        <v>1/1</v>
      </c>
      <c r="R29" s="6" t="str">
        <f>IFERROR(__xludf.DUMMYFUNCTION("IFERROR(REGEXEXTRACT($K29,""LING\s*M\((\d+/\d+)\)""),"""")
"),"1/3")</f>
        <v>1/3</v>
      </c>
      <c r="S29" s="6" t="str">
        <f>IFERROR(__xludf.DUMMYFUNCTION("IFERROR(REGEXEXTRACT($K29,""LING.*?S\((\d+/\d+)\)""),"""")
"),"0/2")</f>
        <v>0/2</v>
      </c>
      <c r="T29" s="6" t="str">
        <f>IFERROR(__xludf.DUMMYFUNCTION("IFERROR(REGEXEXTRACT($K29,""LING[^|]*C\(([0-9]+/[0-9]+)\)""),"""")
"),"2/2")</f>
        <v>2/2</v>
      </c>
      <c r="U29" s="6" t="b">
        <f>IFERROR(__xludf.DUMMYFUNCTION("AND(
  VALUE(INDEX(SPLIT(L29,""/""),1))=VALUE(INDEX(SPLIT(L29,""/""),2)),
  VALUE(INDEX(SPLIT(O29,""/""),1))=VALUE(INDEX(SPLIT(O29,""/""),2)),
  VALUE(INDEX(SPLIT(R29,""/""),1))=VALUE(INDEX(SPLIT(R29,""/""),2))
)
"),FALSE)</f>
        <v>0</v>
      </c>
      <c r="V29" s="6" t="str">
        <f>IFERROR(__xludf.DUMMYFUNCTION("IF($U29=TRUE,""OK"",
 TEXTJOIN("" | "",TRUE,
  IF(VALUE(INDEX(SPLIT($L29,""/""),2))-VALUE(INDEX(SPLIT($L29,""/""),1))&gt;0,
    ""DOM faltam ""&amp;(VALUE(INDEX(SPLIT($L29,""/""),2))-VALUE(INDEX(SPLIT($L29,""/""),1))),
  """"),
  IF(VALUE(INDEX(SPLIT($O29,""/"")"&amp;",2))-VALUE(INDEX(SPLIT($O29,""/""),1))&gt;0,
    ""ECO faltam ""&amp;(VALUE(INDEX(SPLIT($O29,""/""),2))-VALUE(INDEX(SPLIT($O29,""/""),1))),
  """"),
  IF(VALUE(INDEX(SPLIT($R29,""/""),2))-VALUE(INDEX(SPLIT($R29,""/""),1))&gt;0,
    ""LING faltam ""&amp;(VALUE(INDEX(SPL"&amp;"IT($R29,""/""),2))-VALUE(INDEX(SPLIT($R29,""/""),1))),
  """")
 )
)
"),"DOM faltam 1 | ECO faltam 2 | LING faltam 2")</f>
        <v>DOM faltam 1 | ECO faltam 2 | LING faltam 2</v>
      </c>
      <c r="W29" s="6">
        <f>IFERROR(__xludf.DUMMYFUNCTION(" (VALUE(INDEX(SPLIT(L29,""/""),2))-VALUE(INDEX(SPLIT(L29,""/""),1)))
+ (VALUE(INDEX(SPLIT(O29,""/""),2))-VALUE(INDEX(SPLIT(O29,""/""),1)))
+ (VALUE(INDEX(SPLIT(R29,""/""),2))-VALUE(INDEX(SPLIT(R29,""/""),1)))
"),5.0)</f>
        <v>5</v>
      </c>
      <c r="X29" s="6" t="s">
        <v>708</v>
      </c>
      <c r="Y29" s="6" t="s">
        <v>709</v>
      </c>
      <c r="Z29" s="6" t="s">
        <v>710</v>
      </c>
      <c r="AA29" s="6" t="s">
        <v>711</v>
      </c>
    </row>
    <row r="30" ht="18.75" customHeight="1">
      <c r="A30" s="40"/>
      <c r="B30" s="41"/>
      <c r="C30" s="6" t="s">
        <v>407</v>
      </c>
      <c r="D30" s="42" t="s">
        <v>231</v>
      </c>
      <c r="E30" s="42" t="s">
        <v>201</v>
      </c>
      <c r="F30" s="42" t="s">
        <v>195</v>
      </c>
      <c r="G30" s="42" t="s">
        <v>190</v>
      </c>
      <c r="H30" s="42">
        <v>4.0</v>
      </c>
      <c r="I30" s="74"/>
      <c r="J30" s="45"/>
      <c r="K30" s="6" t="s">
        <v>716</v>
      </c>
      <c r="L30" s="6" t="str">
        <f>IFERROR(__xludf.DUMMYFUNCTION("IFERROR(REGEXEXTRACT($K30,""DOM\s*M\((\d+/\d+)\)""),"""")
"),"1/2")</f>
        <v>1/2</v>
      </c>
      <c r="M30" s="6" t="str">
        <f>IFERROR(__xludf.DUMMYFUNCTION("IFERROR(REGEXEXTRACT($K30,""DOM.*?S\((\d+/\d+)\)""),"""")
"),"1/1")</f>
        <v>1/1</v>
      </c>
      <c r="N30" s="6" t="str">
        <f>IFERROR(__xludf.DUMMYFUNCTION("IFERROR(REGEXEXTRACT($K30,""DOM.*?C\((\d+/\d+)\)""),"""")
"),"0/1")</f>
        <v>0/1</v>
      </c>
      <c r="O30" s="6" t="str">
        <f>IFERROR(__xludf.DUMMYFUNCTION("IFERROR(REGEXEXTRACT($K30,""ECO\s*M\((\d+/\d+)\)""),"""")
"),"0/3")</f>
        <v>0/3</v>
      </c>
      <c r="P30" s="6" t="str">
        <f>IFERROR(__xludf.DUMMYFUNCTION("IFERROR(REGEXEXTRACT($K30,""ECO.*?S\((\d+/\d+)\)""),"""")
"),"0/1")</f>
        <v>0/1</v>
      </c>
      <c r="Q30" s="6" t="str">
        <f>IFERROR(__xludf.DUMMYFUNCTION("IFERROR(REGEXEXTRACT($K30,""ECO.*?C\((\d+/\d+)\)""),"""")
"),"1/1")</f>
        <v>1/1</v>
      </c>
      <c r="R30" s="6" t="str">
        <f>IFERROR(__xludf.DUMMYFUNCTION("IFERROR(REGEXEXTRACT($K30,""LING\s*M\((\d+/\d+)\)""),"""")
"),"2/3")</f>
        <v>2/3</v>
      </c>
      <c r="S30" s="6" t="str">
        <f>IFERROR(__xludf.DUMMYFUNCTION("IFERROR(REGEXEXTRACT($K30,""LING.*?S\((\d+/\d+)\)""),"""")
"),"0/2")</f>
        <v>0/2</v>
      </c>
      <c r="T30" s="6" t="str">
        <f>IFERROR(__xludf.DUMMYFUNCTION("IFERROR(REGEXEXTRACT($K30,""LING[^|]*C\(([0-9]+/[0-9]+)\)""),"""")
"),"1/2")</f>
        <v>1/2</v>
      </c>
      <c r="U30" s="6" t="b">
        <f>IFERROR(__xludf.DUMMYFUNCTION("AND(
  VALUE(INDEX(SPLIT(L30,""/""),1))=VALUE(INDEX(SPLIT(L30,""/""),2)),
  VALUE(INDEX(SPLIT(O30,""/""),1))=VALUE(INDEX(SPLIT(O30,""/""),2)),
  VALUE(INDEX(SPLIT(R30,""/""),1))=VALUE(INDEX(SPLIT(R30,""/""),2))
)
"),FALSE)</f>
        <v>0</v>
      </c>
      <c r="V30" s="6" t="str">
        <f>IFERROR(__xludf.DUMMYFUNCTION("IF($U30=TRUE,""OK"",
 TEXTJOIN("" | "",TRUE,
  IF(VALUE(INDEX(SPLIT($L30,""/""),2))-VALUE(INDEX(SPLIT($L30,""/""),1))&gt;0,
    ""DOM faltam ""&amp;(VALUE(INDEX(SPLIT($L30,""/""),2))-VALUE(INDEX(SPLIT($L30,""/""),1))),
  """"),
  IF(VALUE(INDEX(SPLIT($O30,""/"")"&amp;",2))-VALUE(INDEX(SPLIT($O30,""/""),1))&gt;0,
    ""ECO faltam ""&amp;(VALUE(INDEX(SPLIT($O30,""/""),2))-VALUE(INDEX(SPLIT($O30,""/""),1))),
  """"),
  IF(VALUE(INDEX(SPLIT($R30,""/""),2))-VALUE(INDEX(SPLIT($R30,""/""),1))&gt;0,
    ""LING faltam ""&amp;(VALUE(INDEX(SPL"&amp;"IT($R30,""/""),2))-VALUE(INDEX(SPLIT($R30,""/""),1))),
  """")
 )
)
"),"DOM faltam 1 | ECO faltam 3 | LING faltam 1")</f>
        <v>DOM faltam 1 | ECO faltam 3 | LING faltam 1</v>
      </c>
      <c r="W30" s="6">
        <f>IFERROR(__xludf.DUMMYFUNCTION(" (VALUE(INDEX(SPLIT(L30,""/""),2))-VALUE(INDEX(SPLIT(L30,""/""),1)))
+ (VALUE(INDEX(SPLIT(O30,""/""),2))-VALUE(INDEX(SPLIT(O30,""/""),1)))
+ (VALUE(INDEX(SPLIT(R30,""/""),2))-VALUE(INDEX(SPLIT(R30,""/""),1)))
"),5.0)</f>
        <v>5</v>
      </c>
      <c r="X30" s="6" t="s">
        <v>725</v>
      </c>
      <c r="Y30" s="6" t="s">
        <v>726</v>
      </c>
      <c r="Z30" s="6" t="s">
        <v>727</v>
      </c>
      <c r="AA30" s="6" t="s">
        <v>728</v>
      </c>
    </row>
    <row r="31" ht="19.5" customHeight="1">
      <c r="A31" s="75"/>
      <c r="D31" s="42"/>
      <c r="E31" s="42"/>
      <c r="F31" s="42"/>
      <c r="G31" s="42"/>
      <c r="H31" s="42"/>
      <c r="I31" s="74"/>
      <c r="L31" s="6" t="str">
        <f>IFERROR(__xludf.DUMMYFUNCTION("IFERROR(REGEXEXTRACT($K31,""DOM\s*M\((\d+/\d+)\)""),"""")
"),"")</f>
        <v/>
      </c>
      <c r="M31" s="6" t="str">
        <f>IFERROR(__xludf.DUMMYFUNCTION("IFERROR(REGEXEXTRACT($K31,""DOM.*?S\((\d+/\d+)\)""),"""")
"),"")</f>
        <v/>
      </c>
      <c r="N31" s="6" t="str">
        <f>IFERROR(__xludf.DUMMYFUNCTION("IFERROR(REGEXEXTRACT($K31,""DOM.*?C\((\d+/\d+)\)""),"""")
"),"")</f>
        <v/>
      </c>
      <c r="O31" s="6" t="str">
        <f>IFERROR(__xludf.DUMMYFUNCTION("IFERROR(REGEXEXTRACT($K31,""ECO\s*M\((\d+/\d+)\)""),"""")
"),"")</f>
        <v/>
      </c>
      <c r="P31" s="6" t="str">
        <f>IFERROR(__xludf.DUMMYFUNCTION("IFERROR(REGEXEXTRACT($K31,""ECO.*?S\((\d+/\d+)\)""),"""")
"),"")</f>
        <v/>
      </c>
      <c r="Q31" s="6" t="str">
        <f>IFERROR(__xludf.DUMMYFUNCTION("IFERROR(REGEXEXTRACT($K31,""ECO.*?C\((\d+/\d+)\)""),"""")
"),"")</f>
        <v/>
      </c>
      <c r="R31" s="6" t="str">
        <f>IFERROR(__xludf.DUMMYFUNCTION("IFERROR(REGEXEXTRACT($K31,""LING\s*M\((\d+/\d+)\)""),"""")
"),"")</f>
        <v/>
      </c>
      <c r="S31" s="6" t="str">
        <f>IFERROR(__xludf.DUMMYFUNCTION("IFERROR(REGEXEXTRACT($K31,""LING.*?S\((\d+/\d+)\)""),"""")
"),"")</f>
        <v/>
      </c>
      <c r="T31" s="6" t="str">
        <f>IFERROR(__xludf.DUMMYFUNCTION("IFERROR(REGEXEXTRACT($K31,""LING[^|]*C\(([0-9]+/[0-9]+)\)""),"""")
"),"")</f>
        <v/>
      </c>
    </row>
    <row r="32" ht="19.5" customHeight="1">
      <c r="A32" s="76" t="s">
        <v>158</v>
      </c>
      <c r="B32" s="73" t="str">
        <f>IFERROR(VLOOKUP(A32,Projetos!$A$2:$C$8,2,FALSE),"")
</f>
        <v>Critical Embedded Hardware Platform</v>
      </c>
      <c r="C32" s="6" t="s">
        <v>410</v>
      </c>
      <c r="D32" s="42" t="s">
        <v>272</v>
      </c>
      <c r="E32" s="42" t="s">
        <v>58</v>
      </c>
      <c r="F32" s="42" t="s">
        <v>276</v>
      </c>
      <c r="G32" s="42" t="s">
        <v>278</v>
      </c>
      <c r="H32" s="42">
        <v>2.0</v>
      </c>
      <c r="I32" s="42">
        <v>1.0</v>
      </c>
      <c r="K32" s="6" t="s">
        <v>732</v>
      </c>
      <c r="L32" s="6" t="str">
        <f>IFERROR(__xludf.DUMMYFUNCTION("IFERROR(REGEXEXTRACT($K32,""DOM\s*M\((\d+/\d+)\)""),"""")
"),"2/2")</f>
        <v>2/2</v>
      </c>
      <c r="M32" s="6" t="str">
        <f>IFERROR(__xludf.DUMMYFUNCTION("IFERROR(REGEXEXTRACT($K32,""DOM.*?S\((\d+/\d+)\)""),"""")
"),"1/1")</f>
        <v>1/1</v>
      </c>
      <c r="N32" s="6" t="str">
        <f>IFERROR(__xludf.DUMMYFUNCTION("IFERROR(REGEXEXTRACT($K32,""DOM.*?C\((\d+/\d+)\)""),"""")
"),"1/1")</f>
        <v>1/1</v>
      </c>
      <c r="O32" s="6" t="str">
        <f>IFERROR(__xludf.DUMMYFUNCTION("IFERROR(REGEXEXTRACT($K32,""ECO\s*M\((\d+/\d+)\)""),"""")
"),"2/2")</f>
        <v>2/2</v>
      </c>
      <c r="P32" s="6" t="str">
        <f>IFERROR(__xludf.DUMMYFUNCTION("IFERROR(REGEXEXTRACT($K32,""ECO.*?S\((\d+/\d+)\)""),"""")
"),"1/1")</f>
        <v>1/1</v>
      </c>
      <c r="Q32" s="6" t="str">
        <f>IFERROR(__xludf.DUMMYFUNCTION("IFERROR(REGEXEXTRACT($K32,""ECO.*?C\((\d+/\d+)\)""),"""")
"),"2/2")</f>
        <v>2/2</v>
      </c>
      <c r="R32" s="6" t="str">
        <f>IFERROR(__xludf.DUMMYFUNCTION("IFERROR(REGEXEXTRACT($K32,""LING\s*M\((\d+/\d+)\)""),"""")
"),"1/1")</f>
        <v>1/1</v>
      </c>
      <c r="S32" s="6" t="str">
        <f>IFERROR(__xludf.DUMMYFUNCTION("IFERROR(REGEXEXTRACT($K32,""LING.*?S\((\d+/\d+)\)""),"""")
"),"1/1")</f>
        <v>1/1</v>
      </c>
      <c r="T32" s="6" t="str">
        <f>IFERROR(__xludf.DUMMYFUNCTION("IFERROR(REGEXEXTRACT($K32,""LING[^|]*C\(([0-9]+/[0-9]+)\)""),"""")
"),"1/1")</f>
        <v>1/1</v>
      </c>
      <c r="U32" s="6" t="b">
        <f>IFERROR(__xludf.DUMMYFUNCTION("AND(
  VALUE(INDEX(SPLIT(L32,""/""),1))=VALUE(INDEX(SPLIT(L32,""/""),2)),
  VALUE(INDEX(SPLIT(O32,""/""),1))=VALUE(INDEX(SPLIT(O32,""/""),2)),
  VALUE(INDEX(SPLIT(R32,""/""),1))=VALUE(INDEX(SPLIT(R32,""/""),2))
)
"),TRUE)</f>
        <v>1</v>
      </c>
      <c r="V32" s="6" t="str">
        <f>IFERROR(__xludf.DUMMYFUNCTION("IF($U32=TRUE,""OK"",
 TEXTJOIN("" | "",TRUE,
  IF(VALUE(INDEX(SPLIT($L32,""/""),2))-VALUE(INDEX(SPLIT($L32,""/""),1))&gt;0,
    ""DOM faltam ""&amp;(VALUE(INDEX(SPLIT($L32,""/""),2))-VALUE(INDEX(SPLIT($L32,""/""),1))),
  """"),
  IF(VALUE(INDEX(SPLIT($O32,""/"")"&amp;",2))-VALUE(INDEX(SPLIT($O32,""/""),1))&gt;0,
    ""ECO faltam ""&amp;(VALUE(INDEX(SPLIT($O32,""/""),2))-VALUE(INDEX(SPLIT($O32,""/""),1))),
  """"),
  IF(VALUE(INDEX(SPLIT($R32,""/""),2))-VALUE(INDEX(SPLIT($R32,""/""),1))&gt;0,
    ""LING faltam ""&amp;(VALUE(INDEX(SPL"&amp;"IT($R32,""/""),2))-VALUE(INDEX(SPLIT($R32,""/""),1))),
  """")
 )
)
"),"OK")</f>
        <v>OK</v>
      </c>
      <c r="W32" s="6">
        <f>IFERROR(__xludf.DUMMYFUNCTION(" (VALUE(INDEX(SPLIT(L32,""/""),2))-VALUE(INDEX(SPLIT(L32,""/""),1)))
+ (VALUE(INDEX(SPLIT(O32,""/""),2))-VALUE(INDEX(SPLIT(O32,""/""),1)))
+ (VALUE(INDEX(SPLIT(R32,""/""),2))-VALUE(INDEX(SPLIT(R32,""/""),1)))
"),0.0)</f>
        <v>0</v>
      </c>
      <c r="X32" s="6" t="s">
        <v>736</v>
      </c>
      <c r="Y32" s="6" t="s">
        <v>737</v>
      </c>
      <c r="Z32" s="6" t="s">
        <v>738</v>
      </c>
      <c r="AA32" s="6" t="s">
        <v>739</v>
      </c>
    </row>
    <row r="33" ht="18.75" customHeight="1">
      <c r="A33" s="34"/>
      <c r="B33" s="9" t="s">
        <v>430</v>
      </c>
      <c r="C33" s="6" t="s">
        <v>413</v>
      </c>
      <c r="D33" s="42" t="s">
        <v>236</v>
      </c>
      <c r="E33" s="42" t="s">
        <v>143</v>
      </c>
      <c r="F33" s="42" t="s">
        <v>38</v>
      </c>
      <c r="G33" s="42" t="s">
        <v>280</v>
      </c>
      <c r="H33" s="42">
        <v>1.0</v>
      </c>
      <c r="I33" s="42">
        <v>1.0</v>
      </c>
      <c r="K33" s="6" t="s">
        <v>732</v>
      </c>
      <c r="L33" s="6" t="str">
        <f>IFERROR(__xludf.DUMMYFUNCTION("IFERROR(REGEXEXTRACT($K33,""DOM\s*M\((\d+/\d+)\)""),"""")
"),"2/2")</f>
        <v>2/2</v>
      </c>
      <c r="M33" s="6" t="str">
        <f>IFERROR(__xludf.DUMMYFUNCTION("IFERROR(REGEXEXTRACT($K33,""DOM.*?S\((\d+/\d+)\)""),"""")
"),"1/1")</f>
        <v>1/1</v>
      </c>
      <c r="N33" s="6" t="str">
        <f>IFERROR(__xludf.DUMMYFUNCTION("IFERROR(REGEXEXTRACT($K33,""DOM.*?C\((\d+/\d+)\)""),"""")
"),"1/1")</f>
        <v>1/1</v>
      </c>
      <c r="O33" s="6" t="str">
        <f>IFERROR(__xludf.DUMMYFUNCTION("IFERROR(REGEXEXTRACT($K33,""ECO\s*M\((\d+/\d+)\)""),"""")
"),"2/2")</f>
        <v>2/2</v>
      </c>
      <c r="P33" s="6" t="str">
        <f>IFERROR(__xludf.DUMMYFUNCTION("IFERROR(REGEXEXTRACT($K33,""ECO.*?S\((\d+/\d+)\)""),"""")
"),"1/1")</f>
        <v>1/1</v>
      </c>
      <c r="Q33" s="6" t="str">
        <f>IFERROR(__xludf.DUMMYFUNCTION("IFERROR(REGEXEXTRACT($K33,""ECO.*?C\((\d+/\d+)\)""),"""")
"),"2/2")</f>
        <v>2/2</v>
      </c>
      <c r="R33" s="6" t="str">
        <f>IFERROR(__xludf.DUMMYFUNCTION("IFERROR(REGEXEXTRACT($K33,""LING\s*M\((\d+/\d+)\)""),"""")
"),"1/1")</f>
        <v>1/1</v>
      </c>
      <c r="S33" s="6" t="str">
        <f>IFERROR(__xludf.DUMMYFUNCTION("IFERROR(REGEXEXTRACT($K33,""LING.*?S\((\d+/\d+)\)""),"""")
"),"1/1")</f>
        <v>1/1</v>
      </c>
      <c r="T33" s="6" t="str">
        <f>IFERROR(__xludf.DUMMYFUNCTION("IFERROR(REGEXEXTRACT($K33,""LING[^|]*C\(([0-9]+/[0-9]+)\)""),"""")
"),"1/1")</f>
        <v>1/1</v>
      </c>
      <c r="U33" s="6" t="b">
        <f>IFERROR(__xludf.DUMMYFUNCTION("AND(
  VALUE(INDEX(SPLIT(L33,""/""),1))=VALUE(INDEX(SPLIT(L33,""/""),2)),
  VALUE(INDEX(SPLIT(O33,""/""),1))=VALUE(INDEX(SPLIT(O33,""/""),2)),
  VALUE(INDEX(SPLIT(R33,""/""),1))=VALUE(INDEX(SPLIT(R33,""/""),2))
)
"),TRUE)</f>
        <v>1</v>
      </c>
      <c r="V33" s="6" t="str">
        <f>IFERROR(__xludf.DUMMYFUNCTION("IF($U33=TRUE,""OK"",
 TEXTJOIN("" | "",TRUE,
  IF(VALUE(INDEX(SPLIT($L33,""/""),2))-VALUE(INDEX(SPLIT($L33,""/""),1))&gt;0,
    ""DOM faltam ""&amp;(VALUE(INDEX(SPLIT($L33,""/""),2))-VALUE(INDEX(SPLIT($L33,""/""),1))),
  """"),
  IF(VALUE(INDEX(SPLIT($O33,""/"")"&amp;",2))-VALUE(INDEX(SPLIT($O33,""/""),1))&gt;0,
    ""ECO faltam ""&amp;(VALUE(INDEX(SPLIT($O33,""/""),2))-VALUE(INDEX(SPLIT($O33,""/""),1))),
  """"),
  IF(VALUE(INDEX(SPLIT($R33,""/""),2))-VALUE(INDEX(SPLIT($R33,""/""),1))&gt;0,
    ""LING faltam ""&amp;(VALUE(INDEX(SPL"&amp;"IT($R33,""/""),2))-VALUE(INDEX(SPLIT($R33,""/""),1))),
  """")
 )
)
"),"OK")</f>
        <v>OK</v>
      </c>
      <c r="W33" s="6">
        <f>IFERROR(__xludf.DUMMYFUNCTION(" (VALUE(INDEX(SPLIT(L33,""/""),2))-VALUE(INDEX(SPLIT(L33,""/""),1)))
+ (VALUE(INDEX(SPLIT(O33,""/""),2))-VALUE(INDEX(SPLIT(O33,""/""),1)))
+ (VALUE(INDEX(SPLIT(R33,""/""),2))-VALUE(INDEX(SPLIT(R33,""/""),1)))
"),0.0)</f>
        <v>0</v>
      </c>
      <c r="X33" s="6" t="s">
        <v>744</v>
      </c>
      <c r="Y33" s="6" t="s">
        <v>745</v>
      </c>
      <c r="Z33" s="6" t="s">
        <v>746</v>
      </c>
      <c r="AA33" s="6" t="s">
        <v>747</v>
      </c>
    </row>
    <row r="34" ht="19.5" customHeight="1">
      <c r="A34" s="34"/>
      <c r="C34" s="6" t="s">
        <v>416</v>
      </c>
      <c r="D34" s="42" t="s">
        <v>259</v>
      </c>
      <c r="E34" s="42" t="s">
        <v>282</v>
      </c>
      <c r="F34" s="42" t="s">
        <v>222</v>
      </c>
      <c r="G34" s="42" t="s">
        <v>73</v>
      </c>
      <c r="H34" s="42">
        <v>2.0</v>
      </c>
      <c r="I34" s="42">
        <v>3.0</v>
      </c>
      <c r="K34" s="6" t="s">
        <v>732</v>
      </c>
      <c r="L34" s="6" t="str">
        <f>IFERROR(__xludf.DUMMYFUNCTION("IFERROR(REGEXEXTRACT($K34,""DOM\s*M\((\d+/\d+)\)""),"""")
"),"2/2")</f>
        <v>2/2</v>
      </c>
      <c r="M34" s="6" t="str">
        <f>IFERROR(__xludf.DUMMYFUNCTION("IFERROR(REGEXEXTRACT($K34,""DOM.*?S\((\d+/\d+)\)""),"""")
"),"1/1")</f>
        <v>1/1</v>
      </c>
      <c r="N34" s="6" t="str">
        <f>IFERROR(__xludf.DUMMYFUNCTION("IFERROR(REGEXEXTRACT($K34,""DOM.*?C\((\d+/\d+)\)""),"""")
"),"1/1")</f>
        <v>1/1</v>
      </c>
      <c r="O34" s="6" t="str">
        <f>IFERROR(__xludf.DUMMYFUNCTION("IFERROR(REGEXEXTRACT($K34,""ECO\s*M\((\d+/\d+)\)""),"""")
"),"2/2")</f>
        <v>2/2</v>
      </c>
      <c r="P34" s="6" t="str">
        <f>IFERROR(__xludf.DUMMYFUNCTION("IFERROR(REGEXEXTRACT($K34,""ECO.*?S\((\d+/\d+)\)""),"""")
"),"1/1")</f>
        <v>1/1</v>
      </c>
      <c r="Q34" s="6" t="str">
        <f>IFERROR(__xludf.DUMMYFUNCTION("IFERROR(REGEXEXTRACT($K34,""ECO.*?C\((\d+/\d+)\)""),"""")
"),"2/2")</f>
        <v>2/2</v>
      </c>
      <c r="R34" s="6" t="str">
        <f>IFERROR(__xludf.DUMMYFUNCTION("IFERROR(REGEXEXTRACT($K34,""LING\s*M\((\d+/\d+)\)""),"""")
"),"1/1")</f>
        <v>1/1</v>
      </c>
      <c r="S34" s="6" t="str">
        <f>IFERROR(__xludf.DUMMYFUNCTION("IFERROR(REGEXEXTRACT($K34,""LING.*?S\((\d+/\d+)\)""),"""")
"),"1/1")</f>
        <v>1/1</v>
      </c>
      <c r="T34" s="6" t="str">
        <f>IFERROR(__xludf.DUMMYFUNCTION("IFERROR(REGEXEXTRACT($K34,""LING[^|]*C\(([0-9]+/[0-9]+)\)""),"""")
"),"1/1")</f>
        <v>1/1</v>
      </c>
      <c r="U34" s="6" t="b">
        <f>IFERROR(__xludf.DUMMYFUNCTION("AND(
  VALUE(INDEX(SPLIT(L34,""/""),1))=VALUE(INDEX(SPLIT(L34,""/""),2)),
  VALUE(INDEX(SPLIT(O34,""/""),1))=VALUE(INDEX(SPLIT(O34,""/""),2)),
  VALUE(INDEX(SPLIT(R34,""/""),1))=VALUE(INDEX(SPLIT(R34,""/""),2))
)
"),TRUE)</f>
        <v>1</v>
      </c>
      <c r="V34" s="6" t="str">
        <f>IFERROR(__xludf.DUMMYFUNCTION("IF($U34=TRUE,""OK"",
 TEXTJOIN("" | "",TRUE,
  IF(VALUE(INDEX(SPLIT($L34,""/""),2))-VALUE(INDEX(SPLIT($L34,""/""),1))&gt;0,
    ""DOM faltam ""&amp;(VALUE(INDEX(SPLIT($L34,""/""),2))-VALUE(INDEX(SPLIT($L34,""/""),1))),
  """"),
  IF(VALUE(INDEX(SPLIT($O34,""/"")"&amp;",2))-VALUE(INDEX(SPLIT($O34,""/""),1))&gt;0,
    ""ECO faltam ""&amp;(VALUE(INDEX(SPLIT($O34,""/""),2))-VALUE(INDEX(SPLIT($O34,""/""),1))),
  """"),
  IF(VALUE(INDEX(SPLIT($R34,""/""),2))-VALUE(INDEX(SPLIT($R34,""/""),1))&gt;0,
    ""LING faltam ""&amp;(VALUE(INDEX(SPL"&amp;"IT($R34,""/""),2))-VALUE(INDEX(SPLIT($R34,""/""),1))),
  """")
 )
)
"),"OK")</f>
        <v>OK</v>
      </c>
      <c r="W34" s="6">
        <f>IFERROR(__xludf.DUMMYFUNCTION(" (VALUE(INDEX(SPLIT(L34,""/""),2))-VALUE(INDEX(SPLIT(L34,""/""),1)))
+ (VALUE(INDEX(SPLIT(O34,""/""),2))-VALUE(INDEX(SPLIT(O34,""/""),1)))
+ (VALUE(INDEX(SPLIT(R34,""/""),2))-VALUE(INDEX(SPLIT(R34,""/""),1)))
"),0.0)</f>
        <v>0</v>
      </c>
      <c r="X34" s="6" t="s">
        <v>753</v>
      </c>
      <c r="Y34" s="6" t="s">
        <v>754</v>
      </c>
      <c r="Z34" s="6" t="s">
        <v>755</v>
      </c>
      <c r="AA34" s="6" t="s">
        <v>756</v>
      </c>
    </row>
    <row r="35" ht="19.5" customHeight="1">
      <c r="A35" s="34"/>
      <c r="C35" s="6" t="s">
        <v>420</v>
      </c>
      <c r="D35" s="42" t="s">
        <v>283</v>
      </c>
      <c r="E35" s="42" t="s">
        <v>271</v>
      </c>
      <c r="F35" s="42" t="s">
        <v>21</v>
      </c>
      <c r="G35" s="42" t="s">
        <v>285</v>
      </c>
      <c r="H35" s="42">
        <v>5.0</v>
      </c>
      <c r="I35" s="42">
        <v>5.0</v>
      </c>
      <c r="K35" s="6" t="s">
        <v>762</v>
      </c>
      <c r="L35" s="6" t="str">
        <f>IFERROR(__xludf.DUMMYFUNCTION("IFERROR(REGEXEXTRACT($K35,""DOM\s*M\((\d+/\d+)\)""),"""")
"),"0/2")</f>
        <v>0/2</v>
      </c>
      <c r="M35" s="6" t="str">
        <f>IFERROR(__xludf.DUMMYFUNCTION("IFERROR(REGEXEXTRACT($K35,""DOM.*?S\((\d+/\d+)\)""),"""")
"),"0/1")</f>
        <v>0/1</v>
      </c>
      <c r="N35" s="6" t="str">
        <f>IFERROR(__xludf.DUMMYFUNCTION("IFERROR(REGEXEXTRACT($K35,""DOM.*?C\((\d+/\d+)\)""),"""")
"),"0/1")</f>
        <v>0/1</v>
      </c>
      <c r="O35" s="6" t="str">
        <f>IFERROR(__xludf.DUMMYFUNCTION("IFERROR(REGEXEXTRACT($K35,""ECO\s*M\((\d+/\d+)\)""),"""")
"),"0/2")</f>
        <v>0/2</v>
      </c>
      <c r="P35" s="6" t="str">
        <f>IFERROR(__xludf.DUMMYFUNCTION("IFERROR(REGEXEXTRACT($K35,""ECO.*?S\((\d+/\d+)\)""),"""")
"),"0/1")</f>
        <v>0/1</v>
      </c>
      <c r="Q35" s="6" t="str">
        <f>IFERROR(__xludf.DUMMYFUNCTION("IFERROR(REGEXEXTRACT($K35,""ECO.*?C\((\d+/\d+)\)""),"""")
"),"0/3")</f>
        <v>0/3</v>
      </c>
      <c r="R35" s="6" t="str">
        <f>IFERROR(__xludf.DUMMYFUNCTION("IFERROR(REGEXEXTRACT($K35,""LING\s*M\((\d+/\d+)\)""),"""")
"),"0/1")</f>
        <v>0/1</v>
      </c>
      <c r="S35" s="6" t="str">
        <f>IFERROR(__xludf.DUMMYFUNCTION("IFERROR(REGEXEXTRACT($K35,""LING.*?S\((\d+/\d+)\)""),"""")
"),"0/1")</f>
        <v>0/1</v>
      </c>
      <c r="T35" s="6" t="str">
        <f>IFERROR(__xludf.DUMMYFUNCTION("IFERROR(REGEXEXTRACT($K35,""LING[^|]*C\(([0-9]+/[0-9]+)\)""),"""")
"),"0/1")</f>
        <v>0/1</v>
      </c>
      <c r="U35" s="6" t="b">
        <f>IFERROR(__xludf.DUMMYFUNCTION("AND(
  VALUE(INDEX(SPLIT(L35,""/""),1))=VALUE(INDEX(SPLIT(L35,""/""),2)),
  VALUE(INDEX(SPLIT(O35,""/""),1))=VALUE(INDEX(SPLIT(O35,""/""),2)),
  VALUE(INDEX(SPLIT(R35,""/""),1))=VALUE(INDEX(SPLIT(R35,""/""),2))
)
"),FALSE)</f>
        <v>0</v>
      </c>
      <c r="V35" s="6" t="str">
        <f>IFERROR(__xludf.DUMMYFUNCTION("IF($U35=TRUE,""OK"",
 TEXTJOIN("" | "",TRUE,
  IF(VALUE(INDEX(SPLIT($L35,""/""),2))-VALUE(INDEX(SPLIT($L35,""/""),1))&gt;0,
    ""DOM faltam ""&amp;(VALUE(INDEX(SPLIT($L35,""/""),2))-VALUE(INDEX(SPLIT($L35,""/""),1))),
  """"),
  IF(VALUE(INDEX(SPLIT($O35,""/"")"&amp;",2))-VALUE(INDEX(SPLIT($O35,""/""),1))&gt;0,
    ""ECO faltam ""&amp;(VALUE(INDEX(SPLIT($O35,""/""),2))-VALUE(INDEX(SPLIT($O35,""/""),1))),
  """"),
  IF(VALUE(INDEX(SPLIT($R35,""/""),2))-VALUE(INDEX(SPLIT($R35,""/""),1))&gt;0,
    ""LING faltam ""&amp;(VALUE(INDEX(SPL"&amp;"IT($R35,""/""),2))-VALUE(INDEX(SPLIT($R35,""/""),1))),
  """")
 )
)
"),"DOM faltam 2 | ECO faltam 2 | LING faltam 1")</f>
        <v>DOM faltam 2 | ECO faltam 2 | LING faltam 1</v>
      </c>
      <c r="W35" s="6">
        <f>IFERROR(__xludf.DUMMYFUNCTION(" (VALUE(INDEX(SPLIT(L35,""/""),2))-VALUE(INDEX(SPLIT(L35,""/""),1)))
+ (VALUE(INDEX(SPLIT(O35,""/""),2))-VALUE(INDEX(SPLIT(O35,""/""),1)))
+ (VALUE(INDEX(SPLIT(R35,""/""),2))-VALUE(INDEX(SPLIT(R35,""/""),1)))
"),5.0)</f>
        <v>5</v>
      </c>
      <c r="X35" s="109" t="s">
        <v>766</v>
      </c>
      <c r="Y35" s="109" t="s">
        <v>769</v>
      </c>
      <c r="Z35" s="109" t="s">
        <v>770</v>
      </c>
      <c r="AA35" s="109" t="s">
        <v>771</v>
      </c>
    </row>
    <row r="36" ht="15.75" customHeight="1">
      <c r="A36" s="40"/>
      <c r="C36" s="6" t="s">
        <v>426</v>
      </c>
      <c r="D36" s="42" t="s">
        <v>287</v>
      </c>
      <c r="E36" s="42" t="s">
        <v>288</v>
      </c>
      <c r="F36" s="42" t="s">
        <v>290</v>
      </c>
      <c r="G36" s="42" t="s">
        <v>260</v>
      </c>
      <c r="H36" s="42">
        <v>5.0</v>
      </c>
      <c r="I36" s="42">
        <v>5.0</v>
      </c>
      <c r="K36" s="6" t="s">
        <v>762</v>
      </c>
      <c r="L36" s="6" t="str">
        <f>IFERROR(__xludf.DUMMYFUNCTION("IFERROR(REGEXEXTRACT($K36,""DOM\s*M\((\d+/\d+)\)""),"""")
"),"0/2")</f>
        <v>0/2</v>
      </c>
      <c r="M36" s="6" t="str">
        <f>IFERROR(__xludf.DUMMYFUNCTION("IFERROR(REGEXEXTRACT($K36,""DOM.*?S\((\d+/\d+)\)""),"""")
"),"0/1")</f>
        <v>0/1</v>
      </c>
      <c r="N36" s="6" t="str">
        <f>IFERROR(__xludf.DUMMYFUNCTION("IFERROR(REGEXEXTRACT($K36,""DOM.*?C\((\d+/\d+)\)""),"""")
"),"0/1")</f>
        <v>0/1</v>
      </c>
      <c r="O36" s="6" t="str">
        <f>IFERROR(__xludf.DUMMYFUNCTION("IFERROR(REGEXEXTRACT($K36,""ECO\s*M\((\d+/\d+)\)""),"""")
"),"0/2")</f>
        <v>0/2</v>
      </c>
      <c r="P36" s="6" t="str">
        <f>IFERROR(__xludf.DUMMYFUNCTION("IFERROR(REGEXEXTRACT($K36,""ECO.*?S\((\d+/\d+)\)""),"""")
"),"0/1")</f>
        <v>0/1</v>
      </c>
      <c r="Q36" s="6" t="str">
        <f>IFERROR(__xludf.DUMMYFUNCTION("IFERROR(REGEXEXTRACT($K36,""ECO.*?C\((\d+/\d+)\)""),"""")
"),"0/3")</f>
        <v>0/3</v>
      </c>
      <c r="R36" s="6" t="str">
        <f>IFERROR(__xludf.DUMMYFUNCTION("IFERROR(REGEXEXTRACT($K36,""LING\s*M\((\d+/\d+)\)""),"""")
"),"0/1")</f>
        <v>0/1</v>
      </c>
      <c r="S36" s="6" t="str">
        <f>IFERROR(__xludf.DUMMYFUNCTION("IFERROR(REGEXEXTRACT($K36,""LING.*?S\((\d+/\d+)\)""),"""")
"),"0/1")</f>
        <v>0/1</v>
      </c>
      <c r="T36" s="6" t="str">
        <f>IFERROR(__xludf.DUMMYFUNCTION("IFERROR(REGEXEXTRACT($K36,""LING[^|]*C\(([0-9]+/[0-9]+)\)""),"""")
"),"0/1")</f>
        <v>0/1</v>
      </c>
      <c r="U36" s="6" t="b">
        <f>IFERROR(__xludf.DUMMYFUNCTION("AND(
  VALUE(INDEX(SPLIT(L36,""/""),1))=VALUE(INDEX(SPLIT(L36,""/""),2)),
  VALUE(INDEX(SPLIT(O36,""/""),1))=VALUE(INDEX(SPLIT(O36,""/""),2)),
  VALUE(INDEX(SPLIT(R36,""/""),1))=VALUE(INDEX(SPLIT(R36,""/""),2))
)
"),FALSE)</f>
        <v>0</v>
      </c>
      <c r="V36" s="6" t="str">
        <f>IFERROR(__xludf.DUMMYFUNCTION("IF($U36=TRUE,""OK"",
 TEXTJOIN("" | "",TRUE,
  IF(VALUE(INDEX(SPLIT($L36,""/""),2))-VALUE(INDEX(SPLIT($L36,""/""),1))&gt;0,
    ""DOM faltam ""&amp;(VALUE(INDEX(SPLIT($L36,""/""),2))-VALUE(INDEX(SPLIT($L36,""/""),1))),
  """"),
  IF(VALUE(INDEX(SPLIT($O36,""/"")"&amp;",2))-VALUE(INDEX(SPLIT($O36,""/""),1))&gt;0,
    ""ECO faltam ""&amp;(VALUE(INDEX(SPLIT($O36,""/""),2))-VALUE(INDEX(SPLIT($O36,""/""),1))),
  """"),
  IF(VALUE(INDEX(SPLIT($R36,""/""),2))-VALUE(INDEX(SPLIT($R36,""/""),1))&gt;0,
    ""LING faltam ""&amp;(VALUE(INDEX(SPL"&amp;"IT($R36,""/""),2))-VALUE(INDEX(SPLIT($R36,""/""),1))),
  """")
 )
)
"),"DOM faltam 2 | ECO faltam 2 | LING faltam 1")</f>
        <v>DOM faltam 2 | ECO faltam 2 | LING faltam 1</v>
      </c>
      <c r="W36" s="6">
        <f>IFERROR(__xludf.DUMMYFUNCTION(" (VALUE(INDEX(SPLIT(L36,""/""),2))-VALUE(INDEX(SPLIT(L36,""/""),1)))
+ (VALUE(INDEX(SPLIT(O36,""/""),2))-VALUE(INDEX(SPLIT(O36,""/""),1)))
+ (VALUE(INDEX(SPLIT(R36,""/""),2))-VALUE(INDEX(SPLIT(R36,""/""),1)))
"),5.0)</f>
        <v>5</v>
      </c>
      <c r="X36" s="109" t="s">
        <v>781</v>
      </c>
      <c r="Y36" s="109" t="s">
        <v>782</v>
      </c>
      <c r="Z36" s="109" t="s">
        <v>783</v>
      </c>
      <c r="AA36" s="109" t="s">
        <v>784</v>
      </c>
    </row>
    <row r="39">
      <c r="K39" s="6" t="s">
        <v>785</v>
      </c>
    </row>
    <row r="40">
      <c r="AI40" s="73" t="str">
        <f>+AI59</f>
        <v/>
      </c>
    </row>
  </sheetData>
  <mergeCells count="12">
    <mergeCell ref="A20:A24"/>
    <mergeCell ref="A26:A30"/>
    <mergeCell ref="B27:B30"/>
    <mergeCell ref="A32:A36"/>
    <mergeCell ref="B33:B36"/>
    <mergeCell ref="A2:A6"/>
    <mergeCell ref="B3:B6"/>
    <mergeCell ref="A8:A12"/>
    <mergeCell ref="B9:B12"/>
    <mergeCell ref="A14:A18"/>
    <mergeCell ref="B15:B18"/>
    <mergeCell ref="B21:B24"/>
  </mergeCells>
  <conditionalFormatting sqref="D2:G36">
    <cfRule type="expression" dxfId="0" priority="1">
      <formula>AND(D2&lt;&gt;"",COUNTIF($D2:$G2,D2)&gt;1)</formula>
    </cfRule>
  </conditionalFormatting>
  <conditionalFormatting sqref="U1:U995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2:G6 D8:G12 D14:G18 D20:G24 D26:G30 D32:G36">
      <formula1>Devs!$B$2:$B$100</formula1>
    </dataValidation>
    <dataValidation type="list" allowBlank="1" showErrorMessage="1" sqref="I2:I6 I8:I12 I14:I18 I20:I24 I26:I30 I32:I36">
      <formula1>"1,2,3,4,5"</formula1>
    </dataValidation>
    <dataValidation type="list" allowBlank="1" showErrorMessage="1" sqref="H2:H6 H8:H12 H14:H18 H20:H24 H26:H30 H32:H36">
      <formula1>"0,1,2,3,4,5"</formula1>
    </dataValidation>
    <dataValidation type="list" allowBlank="1" showErrorMessage="1" sqref="A2 A8 A14 A20 A26 A32">
      <formula1>"P_,P1,P2,P3,P4,P5,P6"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0"/>
    <col customWidth="1" min="2" max="2" width="49.63"/>
    <col customWidth="1" min="4" max="4" width="12.25"/>
    <col customWidth="1" min="5" max="5" width="11.88"/>
    <col customWidth="1" min="6" max="6" width="12.13"/>
    <col customWidth="1" min="7" max="7" width="13.0"/>
    <col customWidth="1" min="8" max="8" width="10.5"/>
    <col customWidth="1" min="9" max="9" width="10.38"/>
    <col customWidth="1" min="10" max="10" width="7.0"/>
    <col customWidth="1" hidden="1" min="11" max="11" width="13.75"/>
    <col customWidth="1" hidden="1" min="12" max="13" width="16.13"/>
    <col customWidth="1" hidden="1" min="14" max="14" width="15.25"/>
    <col customWidth="1" hidden="1" min="15" max="15" width="10.5"/>
    <col customWidth="1" hidden="1" min="16" max="16" width="7.0"/>
    <col customWidth="1" min="17" max="17" width="10.75"/>
    <col customWidth="1" min="20" max="20" width="18.25"/>
  </cols>
  <sheetData>
    <row r="1">
      <c r="A1" s="8" t="s">
        <v>13</v>
      </c>
      <c r="B1" s="8" t="s">
        <v>52</v>
      </c>
      <c r="C1" s="8" t="s">
        <v>54</v>
      </c>
      <c r="D1" s="8" t="s">
        <v>56</v>
      </c>
      <c r="E1" s="8" t="s">
        <v>57</v>
      </c>
      <c r="F1" s="8" t="s">
        <v>60</v>
      </c>
      <c r="G1" s="8" t="s">
        <v>61</v>
      </c>
      <c r="H1" s="8" t="s">
        <v>63</v>
      </c>
      <c r="I1" s="8" t="s">
        <v>65</v>
      </c>
      <c r="J1" s="6" t="s">
        <v>207</v>
      </c>
      <c r="K1" s="6" t="s">
        <v>210</v>
      </c>
      <c r="L1" s="6" t="s">
        <v>211</v>
      </c>
      <c r="M1" s="6" t="s">
        <v>213</v>
      </c>
      <c r="N1" s="6" t="s">
        <v>214</v>
      </c>
      <c r="O1" s="6" t="s">
        <v>216</v>
      </c>
      <c r="P1" s="6" t="s">
        <v>207</v>
      </c>
      <c r="Q1" s="32" t="s">
        <v>218</v>
      </c>
      <c r="R1" s="32" t="s">
        <v>218</v>
      </c>
      <c r="S1" s="8" t="s">
        <v>207</v>
      </c>
      <c r="T1" s="8" t="s">
        <v>221</v>
      </c>
    </row>
    <row r="2">
      <c r="A2" s="25" t="s">
        <v>81</v>
      </c>
      <c r="B2" s="29" t="str">
        <f>IFERROR(VLOOKUP(A2,Projetos!$A$2:$C$7,2,FALSE),"")
</f>
        <v>.NET Corporate Portal Maintainance</v>
      </c>
      <c r="C2" s="6" t="s">
        <v>187</v>
      </c>
      <c r="D2" s="30" t="s">
        <v>133</v>
      </c>
      <c r="E2" s="30" t="s">
        <v>30</v>
      </c>
      <c r="F2" s="30" t="s">
        <v>68</v>
      </c>
      <c r="G2" s="30" t="s">
        <v>196</v>
      </c>
      <c r="H2" s="30">
        <v>3.0</v>
      </c>
      <c r="I2" s="30">
        <v>4.0</v>
      </c>
      <c r="J2" s="6">
        <v>2.0</v>
      </c>
      <c r="K2" s="6">
        <v>2.0</v>
      </c>
      <c r="L2" s="6">
        <v>2.0</v>
      </c>
      <c r="M2" s="6">
        <v>2.0</v>
      </c>
      <c r="N2" s="6">
        <v>2.0</v>
      </c>
      <c r="O2" s="6">
        <v>2.0</v>
      </c>
      <c r="P2" s="6">
        <v>2.0</v>
      </c>
      <c r="Q2" s="32">
        <v>0.164574</v>
      </c>
      <c r="R2" s="32">
        <v>0.164574</v>
      </c>
      <c r="S2" s="6">
        <v>2.0</v>
      </c>
      <c r="T2" s="6">
        <v>3.0</v>
      </c>
    </row>
    <row r="3">
      <c r="A3" s="34"/>
      <c r="B3" s="35" t="str">
        <f>IFERROR(
"DOM  M["&amp;VLOOKUP($A2,Projetos!$A:$L,4,FALSE)&amp;"] S["&amp;VLOOKUP($A2,Projetos!$A:$L,5,FALSE)&amp;"] C["&amp;VLOOKUP($A2,Projetos!$A:$L,6,FALSE)&amp;"]"&amp;CHAR(10)&amp;
"ECO  M["&amp;VLOOKUP($A2,Projetos!$A:$L,7,FALSE)&amp;"] S["&amp;VLOOKUP($A2,Projetos!$A:$L,8,FALSE)&amp;"] C["&amp;VLOOKUP($A2,Projetos!$A:$L,9,FALSE)&amp;"]"&amp;CHAR(10)&amp;
"LING M["&amp;VLOOKUP($A2,Projetos!$A:$L,10,FALSE)&amp;"] S["&amp;VLOOKUP($A2,Projetos!$A:$L,11,FALSE)&amp;"] C["&amp;VLOOKUP($A2,Projetos!$A:$L,12,FALSE)&amp;"]"
,"")
</f>
        <v>DOM  M[Desktop, Web] S[Cloud] C[Mobile]
ECO  M[.NET] S[React] C[MongoDB]
LING M[C#] S[JavaScript, TypeScript] C[Python]</v>
      </c>
      <c r="C3" s="6" t="s">
        <v>292</v>
      </c>
      <c r="D3" s="6" t="s">
        <v>58</v>
      </c>
      <c r="E3" s="6" t="s">
        <v>241</v>
      </c>
      <c r="F3" s="6" t="s">
        <v>238</v>
      </c>
      <c r="G3" s="6" t="s">
        <v>220</v>
      </c>
      <c r="H3" s="6">
        <v>4.0</v>
      </c>
      <c r="I3" s="6">
        <v>5.0</v>
      </c>
      <c r="J3" s="6">
        <v>5.0</v>
      </c>
      <c r="K3" s="6">
        <v>3.0</v>
      </c>
      <c r="L3" s="6">
        <v>5.0</v>
      </c>
      <c r="M3" s="6">
        <v>5.0</v>
      </c>
      <c r="N3" s="6">
        <v>5.0</v>
      </c>
      <c r="O3" s="6">
        <v>5.0</v>
      </c>
      <c r="P3" s="6">
        <v>5.0</v>
      </c>
      <c r="Q3" s="36">
        <v>0.106921</v>
      </c>
      <c r="R3" s="37">
        <v>0.106921</v>
      </c>
      <c r="S3" s="6">
        <v>5.0</v>
      </c>
      <c r="T3" s="38">
        <v>4.0</v>
      </c>
      <c r="U3" s="6" t="s">
        <v>293</v>
      </c>
    </row>
    <row r="4">
      <c r="A4" s="34"/>
      <c r="C4" s="6" t="s">
        <v>294</v>
      </c>
      <c r="D4" s="6" t="s">
        <v>157</v>
      </c>
      <c r="E4" s="6" t="s">
        <v>244</v>
      </c>
      <c r="F4" s="6" t="s">
        <v>196</v>
      </c>
      <c r="G4" s="6" t="s">
        <v>224</v>
      </c>
      <c r="H4" s="6">
        <v>4.0</v>
      </c>
      <c r="I4" s="6">
        <v>5.0</v>
      </c>
      <c r="J4" s="6">
        <v>4.0</v>
      </c>
      <c r="K4" s="38">
        <v>4.0</v>
      </c>
      <c r="L4" s="38">
        <v>4.0</v>
      </c>
      <c r="M4" s="6">
        <v>4.0</v>
      </c>
      <c r="N4" s="6">
        <v>3.0</v>
      </c>
      <c r="O4" s="6">
        <v>3.0</v>
      </c>
      <c r="P4" s="6">
        <v>4.0</v>
      </c>
      <c r="Q4" s="36">
        <v>0.122672</v>
      </c>
      <c r="R4" s="32">
        <v>0.122672</v>
      </c>
      <c r="S4" s="6">
        <v>4.0</v>
      </c>
      <c r="T4" s="6">
        <v>4.0</v>
      </c>
    </row>
    <row r="5">
      <c r="A5" s="34"/>
      <c r="C5" s="6" t="s">
        <v>296</v>
      </c>
      <c r="D5" s="6" t="s">
        <v>35</v>
      </c>
      <c r="E5" s="6" t="s">
        <v>188</v>
      </c>
      <c r="F5" s="6" t="s">
        <v>177</v>
      </c>
      <c r="G5" s="6" t="s">
        <v>73</v>
      </c>
      <c r="H5" s="6">
        <v>1.0</v>
      </c>
      <c r="I5" s="6">
        <v>3.0</v>
      </c>
      <c r="J5" s="6">
        <v>1.0</v>
      </c>
      <c r="K5" s="38">
        <v>1.0</v>
      </c>
      <c r="L5" s="38">
        <v>1.0</v>
      </c>
      <c r="M5" s="6">
        <v>1.0</v>
      </c>
      <c r="N5" s="38">
        <v>1.0</v>
      </c>
      <c r="O5" s="38">
        <v>1.0</v>
      </c>
      <c r="P5" s="6">
        <v>1.0</v>
      </c>
      <c r="Q5" s="32">
        <v>0.541278</v>
      </c>
      <c r="R5" s="37">
        <v>0.541278</v>
      </c>
      <c r="S5" s="6">
        <v>1.0</v>
      </c>
      <c r="T5" s="38">
        <v>1.0</v>
      </c>
      <c r="U5" s="6" t="s">
        <v>297</v>
      </c>
    </row>
    <row r="6">
      <c r="A6" s="40"/>
      <c r="B6" s="41"/>
      <c r="C6" s="6" t="s">
        <v>298</v>
      </c>
      <c r="D6" s="42" t="s">
        <v>190</v>
      </c>
      <c r="E6" s="42" t="s">
        <v>201</v>
      </c>
      <c r="F6" s="42" t="s">
        <v>244</v>
      </c>
      <c r="G6" s="42" t="s">
        <v>189</v>
      </c>
      <c r="H6" s="42">
        <v>2.0</v>
      </c>
      <c r="I6" s="42">
        <v>3.0</v>
      </c>
      <c r="J6" s="6">
        <v>3.0</v>
      </c>
      <c r="K6" s="6">
        <v>5.0</v>
      </c>
      <c r="L6" s="6">
        <v>3.0</v>
      </c>
      <c r="M6" s="6">
        <v>3.0</v>
      </c>
      <c r="N6" s="6">
        <v>4.0</v>
      </c>
      <c r="O6" s="6">
        <v>4.0</v>
      </c>
      <c r="P6" s="6">
        <v>3.0</v>
      </c>
      <c r="Q6" s="32">
        <v>0.128993</v>
      </c>
      <c r="R6" s="32">
        <v>0.128993</v>
      </c>
      <c r="S6" s="6">
        <v>3.0</v>
      </c>
      <c r="T6" s="6">
        <v>2.0</v>
      </c>
    </row>
    <row r="7">
      <c r="A7" s="43"/>
    </row>
    <row r="8">
      <c r="A8" s="25" t="s">
        <v>104</v>
      </c>
      <c r="B8" s="29" t="str">
        <f>IFERROR(VLOOKUP(A8,Projetos!$A$2:$C$7,2,FALSE),"")
</f>
        <v>Hybrid Mobile App with Web Panel</v>
      </c>
      <c r="C8" s="6" t="s">
        <v>299</v>
      </c>
      <c r="D8" s="30" t="s">
        <v>228</v>
      </c>
      <c r="E8" s="30" t="s">
        <v>73</v>
      </c>
      <c r="F8" s="30" t="s">
        <v>212</v>
      </c>
      <c r="G8" s="30" t="s">
        <v>182</v>
      </c>
      <c r="H8" s="30">
        <v>1.0</v>
      </c>
      <c r="I8" s="30">
        <v>1.0</v>
      </c>
      <c r="J8" s="6">
        <v>2.0</v>
      </c>
      <c r="K8" s="6">
        <v>2.0</v>
      </c>
      <c r="L8" s="6">
        <v>2.0</v>
      </c>
      <c r="M8" s="6">
        <v>2.0</v>
      </c>
      <c r="N8" s="6">
        <v>2.0</v>
      </c>
      <c r="O8" s="38">
        <v>1.0</v>
      </c>
      <c r="P8" s="6">
        <v>2.0</v>
      </c>
      <c r="Q8" s="32">
        <v>0.275664</v>
      </c>
      <c r="R8" s="32">
        <v>0.275664</v>
      </c>
      <c r="S8" s="6">
        <v>2.0</v>
      </c>
      <c r="T8" s="22">
        <v>1.0</v>
      </c>
      <c r="U8" s="6" t="s">
        <v>300</v>
      </c>
    </row>
    <row r="9">
      <c r="A9" s="34"/>
      <c r="B9" s="35" t="str">
        <f>IFERROR(
"DOM  M["&amp;VLOOKUP($A8,Projetos!$A:$L,4,FALSE)&amp;"] S["&amp;VLOOKUP($A8,Projetos!$A:$L,5,FALSE)&amp;"] C["&amp;VLOOKUP($A8,Projetos!$A:$L,6,FALSE)&amp;"]"&amp;CHAR(10)&amp;
"ECO  M["&amp;VLOOKUP($A8,Projetos!$A:$L,7,FALSE)&amp;"] S["&amp;VLOOKUP($A8,Projetos!$A:$L,8,FALSE)&amp;"] C["&amp;VLOOKUP($A8,Projetos!$A:$L,9,FALSE)&amp;"]"&amp;CHAR(10)&amp;
"LING M["&amp;VLOOKUP($A8,Projetos!$A:$L,10,FALSE)&amp;"] S["&amp;VLOOKUP($A8,Projetos!$A:$L,11,FALSE)&amp;"] C["&amp;VLOOKUP($A8,Projetos!$A:$L,12,FALSE)&amp;"]"
,"")
</f>
        <v>DOM  M[Mobile] S[Web] C[Cloud]
ECO  M[Android, iOS/iPadOS] S[React] C[.NET]
LING M[Kotlin, Swift] S[JavaScript, TypeScript] C[Java, C#]</v>
      </c>
      <c r="C9" s="6" t="s">
        <v>302</v>
      </c>
      <c r="D9" s="6" t="s">
        <v>177</v>
      </c>
      <c r="E9" s="6" t="s">
        <v>204</v>
      </c>
      <c r="F9" s="6" t="s">
        <v>231</v>
      </c>
      <c r="G9" s="6" t="s">
        <v>234</v>
      </c>
      <c r="H9" s="6">
        <v>2.0</v>
      </c>
      <c r="I9" s="6">
        <v>1.0</v>
      </c>
      <c r="J9" s="6">
        <v>5.0</v>
      </c>
      <c r="K9" s="6">
        <v>5.0</v>
      </c>
      <c r="L9" s="6">
        <v>5.0</v>
      </c>
      <c r="M9" s="6">
        <v>5.0</v>
      </c>
      <c r="N9" s="6">
        <v>5.0</v>
      </c>
      <c r="O9" s="6">
        <v>4.0</v>
      </c>
      <c r="P9" s="6">
        <v>5.0</v>
      </c>
      <c r="Q9" s="32">
        <v>0.15454</v>
      </c>
      <c r="R9" s="32">
        <v>0.15454</v>
      </c>
      <c r="S9" s="6">
        <v>5.0</v>
      </c>
      <c r="T9" s="6">
        <v>2.0</v>
      </c>
    </row>
    <row r="10">
      <c r="A10" s="34"/>
      <c r="C10" s="6" t="s">
        <v>303</v>
      </c>
      <c r="D10" s="6" t="s">
        <v>92</v>
      </c>
      <c r="E10" s="6" t="s">
        <v>96</v>
      </c>
      <c r="F10" s="6" t="s">
        <v>202</v>
      </c>
      <c r="G10" s="6" t="s">
        <v>143</v>
      </c>
      <c r="H10" s="6">
        <v>3.0</v>
      </c>
      <c r="I10" s="6">
        <v>2.0</v>
      </c>
      <c r="J10" s="6">
        <v>3.0</v>
      </c>
      <c r="K10" s="38">
        <v>3.0</v>
      </c>
      <c r="L10" s="38">
        <v>3.0</v>
      </c>
      <c r="M10" s="6">
        <v>3.0</v>
      </c>
      <c r="N10" s="38">
        <v>3.0</v>
      </c>
      <c r="O10" s="6">
        <v>2.0</v>
      </c>
      <c r="P10" s="6">
        <v>3.0</v>
      </c>
      <c r="Q10" s="36">
        <v>0.275664</v>
      </c>
      <c r="R10" s="32">
        <v>0.275664</v>
      </c>
      <c r="S10" s="6">
        <v>2.0</v>
      </c>
      <c r="T10" s="6">
        <v>3.0</v>
      </c>
    </row>
    <row r="11">
      <c r="A11" s="34"/>
      <c r="C11" s="6" t="s">
        <v>308</v>
      </c>
      <c r="D11" s="6" t="s">
        <v>229</v>
      </c>
      <c r="E11" s="6" t="s">
        <v>174</v>
      </c>
      <c r="F11" s="6" t="s">
        <v>234</v>
      </c>
      <c r="G11" s="6" t="s">
        <v>15</v>
      </c>
      <c r="H11" s="6">
        <v>4.0</v>
      </c>
      <c r="I11" s="6">
        <v>4.0</v>
      </c>
      <c r="J11" s="6">
        <v>4.0</v>
      </c>
      <c r="K11" s="38">
        <v>4.0</v>
      </c>
      <c r="L11" s="38">
        <v>4.0</v>
      </c>
      <c r="M11" s="6">
        <v>4.0</v>
      </c>
      <c r="N11" s="38">
        <v>4.0</v>
      </c>
      <c r="O11" s="6">
        <v>3.0</v>
      </c>
      <c r="P11" s="6">
        <v>4.0</v>
      </c>
      <c r="Q11" s="32">
        <v>0.275664</v>
      </c>
      <c r="R11" s="32">
        <v>0.275664</v>
      </c>
      <c r="S11" s="6">
        <v>2.0</v>
      </c>
      <c r="T11" s="44">
        <v>5.0</v>
      </c>
      <c r="U11" s="6" t="s">
        <v>310</v>
      </c>
    </row>
    <row r="12">
      <c r="A12" s="40"/>
      <c r="B12" s="41"/>
      <c r="C12" s="6" t="s">
        <v>311</v>
      </c>
      <c r="D12" s="42" t="s">
        <v>90</v>
      </c>
      <c r="E12" s="42" t="s">
        <v>196</v>
      </c>
      <c r="F12" s="42" t="s">
        <v>246</v>
      </c>
      <c r="G12" s="42" t="s">
        <v>68</v>
      </c>
      <c r="H12" s="42">
        <v>3.0</v>
      </c>
      <c r="I12" s="42">
        <v>4.0</v>
      </c>
      <c r="J12" s="6">
        <v>1.0</v>
      </c>
      <c r="K12" s="6">
        <v>1.0</v>
      </c>
      <c r="L12" s="6">
        <v>1.0</v>
      </c>
      <c r="M12" s="6">
        <v>1.0</v>
      </c>
      <c r="N12" s="6">
        <v>1.0</v>
      </c>
      <c r="O12" s="6">
        <v>5.0</v>
      </c>
      <c r="P12" s="6">
        <v>1.0</v>
      </c>
      <c r="Q12" s="36">
        <v>0.395012</v>
      </c>
      <c r="R12" s="32">
        <v>0.395012</v>
      </c>
      <c r="S12" s="6">
        <v>1.0</v>
      </c>
      <c r="T12" s="6">
        <v>3.0</v>
      </c>
    </row>
    <row r="13">
      <c r="A13" s="43"/>
    </row>
    <row r="14">
      <c r="A14" s="25" t="s">
        <v>124</v>
      </c>
      <c r="B14" s="29" t="str">
        <f>IFERROR(VLOOKUP(A14,Projetos!$A$2:$C$7,2,FALSE),"")
</f>
        <v>Cloud IoT Sensor Platform </v>
      </c>
      <c r="C14" s="6" t="s">
        <v>312</v>
      </c>
      <c r="D14" s="30" t="s">
        <v>253</v>
      </c>
      <c r="E14" s="30" t="s">
        <v>249</v>
      </c>
      <c r="F14" s="30" t="s">
        <v>233</v>
      </c>
      <c r="G14" s="30" t="s">
        <v>255</v>
      </c>
      <c r="H14" s="30">
        <v>3.0</v>
      </c>
      <c r="I14" s="30">
        <v>2.0</v>
      </c>
      <c r="J14" s="6">
        <v>1.0</v>
      </c>
      <c r="K14" s="6">
        <v>1.0</v>
      </c>
      <c r="L14" s="6">
        <v>1.0</v>
      </c>
      <c r="M14" s="6">
        <v>1.0</v>
      </c>
      <c r="N14" s="6">
        <v>1.0</v>
      </c>
      <c r="O14" s="6">
        <v>1.0</v>
      </c>
      <c r="P14" s="6">
        <v>1.0</v>
      </c>
      <c r="Q14" s="32">
        <v>0.325603</v>
      </c>
      <c r="R14" s="37">
        <v>0.325603</v>
      </c>
      <c r="S14" s="6">
        <v>1.0</v>
      </c>
      <c r="T14" s="38">
        <v>1.0</v>
      </c>
      <c r="U14" s="6" t="s">
        <v>297</v>
      </c>
    </row>
    <row r="15">
      <c r="A15" s="34"/>
      <c r="B15" s="35" t="str">
        <f>IFERROR(
"DOM  M["&amp;VLOOKUP($A14,Projetos!$A:$L,4,FALSE)&amp;"] S["&amp;VLOOKUP($A14,Projetos!$A:$L,5,FALSE)&amp;"] C["&amp;VLOOKUP($A14,Projetos!$A:$L,6,FALSE)&amp;"]"&amp;CHAR(10)&amp;
"ECO  M["&amp;VLOOKUP($A14,Projetos!$A:$L,7,FALSE)&amp;"] S["&amp;VLOOKUP($A14,Projetos!$A:$L,8,FALSE)&amp;"] C["&amp;VLOOKUP($A14,Projetos!$A:$L,9,FALSE)&amp;"]"&amp;CHAR(10)&amp;
"LING M["&amp;VLOOKUP($A14,Projetos!$A:$L,10,FALSE)&amp;"] S["&amp;VLOOKUP($A14,Projetos!$A:$L,11,FALSE)&amp;"] C["&amp;VLOOKUP($A14,Projetos!$A:$L,12,FALSE)&amp;"]"
,"")
</f>
        <v>DOM  M[IoT, Cloud] S[Web] C[Desktop]
ECO  M[AWS Lambda] S[React, Angular, MongoDB] C[Android]
LING M[Python, C++] S[JavaScript] C[Java, TypeScript]</v>
      </c>
      <c r="C15" s="6" t="s">
        <v>318</v>
      </c>
      <c r="D15" s="6" t="s">
        <v>90</v>
      </c>
      <c r="E15" s="6" t="s">
        <v>222</v>
      </c>
      <c r="F15" s="6" t="s">
        <v>256</v>
      </c>
      <c r="G15" s="6" t="s">
        <v>257</v>
      </c>
      <c r="H15" s="6">
        <v>5.0</v>
      </c>
      <c r="I15" s="6">
        <v>4.0</v>
      </c>
      <c r="J15" s="6">
        <v>2.0</v>
      </c>
      <c r="K15" s="6">
        <v>2.0</v>
      </c>
      <c r="L15" s="6">
        <v>2.0</v>
      </c>
      <c r="M15" s="6">
        <v>2.0</v>
      </c>
      <c r="N15" s="6">
        <v>2.0</v>
      </c>
      <c r="O15" s="6">
        <v>2.0</v>
      </c>
      <c r="P15" s="6">
        <v>2.0</v>
      </c>
      <c r="Q15" s="36">
        <v>0.106921</v>
      </c>
      <c r="R15" s="37">
        <v>0.106921</v>
      </c>
      <c r="S15" s="6">
        <v>2.0</v>
      </c>
      <c r="T15" s="38">
        <v>4.0</v>
      </c>
      <c r="U15" s="6" t="s">
        <v>319</v>
      </c>
    </row>
    <row r="16">
      <c r="A16" s="34"/>
      <c r="C16" s="6" t="s">
        <v>322</v>
      </c>
      <c r="D16" s="6" t="s">
        <v>258</v>
      </c>
      <c r="E16" s="6" t="s">
        <v>259</v>
      </c>
      <c r="F16" s="6" t="s">
        <v>260</v>
      </c>
      <c r="G16" s="6" t="s">
        <v>261</v>
      </c>
      <c r="H16" s="6">
        <v>4.0</v>
      </c>
      <c r="I16" s="6">
        <v>4.0</v>
      </c>
      <c r="J16" s="6">
        <v>3.0</v>
      </c>
      <c r="K16" s="6">
        <v>3.0</v>
      </c>
      <c r="L16" s="6">
        <v>3.0</v>
      </c>
      <c r="M16" s="6">
        <v>3.0</v>
      </c>
      <c r="N16" s="6">
        <v>3.0</v>
      </c>
      <c r="O16" s="6">
        <v>3.0</v>
      </c>
      <c r="P16" s="6">
        <v>3.0</v>
      </c>
      <c r="Q16" s="32">
        <v>0.106921</v>
      </c>
      <c r="R16" s="32">
        <v>0.106921</v>
      </c>
      <c r="S16" s="6">
        <v>2.0</v>
      </c>
      <c r="T16" s="6">
        <v>3.0</v>
      </c>
    </row>
    <row r="17">
      <c r="A17" s="34"/>
      <c r="C17" s="6" t="s">
        <v>325</v>
      </c>
      <c r="D17" s="6" t="s">
        <v>258</v>
      </c>
      <c r="E17" s="6" t="s">
        <v>263</v>
      </c>
      <c r="F17" s="6" t="s">
        <v>265</v>
      </c>
      <c r="G17" s="6" t="s">
        <v>268</v>
      </c>
      <c r="H17" s="6">
        <v>3.0</v>
      </c>
      <c r="I17" s="6">
        <v>3.0</v>
      </c>
      <c r="J17" s="6">
        <v>4.0</v>
      </c>
      <c r="K17" s="6">
        <v>4.0</v>
      </c>
      <c r="L17" s="6">
        <v>4.0</v>
      </c>
      <c r="M17" s="6">
        <v>4.0</v>
      </c>
      <c r="N17" s="6">
        <v>4.0</v>
      </c>
      <c r="O17" s="6">
        <v>4.0</v>
      </c>
      <c r="P17" s="6">
        <v>4.0</v>
      </c>
      <c r="Q17" s="32">
        <v>0.106921</v>
      </c>
      <c r="R17" s="32">
        <v>0.106921</v>
      </c>
      <c r="S17" s="6">
        <v>2.0</v>
      </c>
      <c r="T17" s="6">
        <v>1.0</v>
      </c>
    </row>
    <row r="18">
      <c r="A18" s="40"/>
      <c r="B18" s="41"/>
      <c r="C18" s="6" t="s">
        <v>329</v>
      </c>
      <c r="D18" s="42" t="s">
        <v>220</v>
      </c>
      <c r="E18" s="42" t="s">
        <v>270</v>
      </c>
      <c r="F18" s="42" t="s">
        <v>169</v>
      </c>
      <c r="G18" s="42" t="s">
        <v>271</v>
      </c>
      <c r="H18" s="42">
        <v>5.0</v>
      </c>
      <c r="I18" s="42">
        <v>5.0</v>
      </c>
      <c r="J18" s="6">
        <v>5.0</v>
      </c>
      <c r="K18" s="38">
        <v>5.0</v>
      </c>
      <c r="L18" s="38">
        <v>5.0</v>
      </c>
      <c r="M18" s="6">
        <v>5.0</v>
      </c>
      <c r="N18" s="38">
        <v>5.0</v>
      </c>
      <c r="O18" s="38">
        <v>5.0</v>
      </c>
      <c r="P18" s="6">
        <v>5.0</v>
      </c>
      <c r="Q18" s="36">
        <v>0.106921</v>
      </c>
      <c r="R18" s="37">
        <v>0.106921</v>
      </c>
      <c r="S18" s="6">
        <v>2.0</v>
      </c>
      <c r="T18" s="38">
        <v>4.0</v>
      </c>
    </row>
    <row r="19">
      <c r="A19" s="43"/>
    </row>
    <row r="20">
      <c r="A20" s="25" t="s">
        <v>134</v>
      </c>
      <c r="B20" s="29" t="str">
        <f>IFERROR(VLOOKUP(A20,Projetos!$A$2:$C$7,2,FALSE),"")
</f>
        <v>Web Analytic Reports SaaS</v>
      </c>
      <c r="C20" s="6" t="s">
        <v>340</v>
      </c>
      <c r="D20" s="30" t="s">
        <v>174</v>
      </c>
      <c r="E20" s="30" t="s">
        <v>172</v>
      </c>
      <c r="F20" s="30" t="s">
        <v>188</v>
      </c>
      <c r="G20" s="30" t="s">
        <v>248</v>
      </c>
      <c r="H20" s="30">
        <v>2.0</v>
      </c>
      <c r="I20" s="30">
        <v>2.0</v>
      </c>
      <c r="J20" s="6">
        <v>1.0</v>
      </c>
      <c r="K20" s="6">
        <v>4.0</v>
      </c>
      <c r="L20" s="6">
        <v>4.0</v>
      </c>
      <c r="M20" s="6">
        <v>2.0</v>
      </c>
      <c r="N20" s="38">
        <v>2.0</v>
      </c>
      <c r="O20" s="6">
        <v>5.0</v>
      </c>
      <c r="P20" s="6">
        <v>2.0</v>
      </c>
      <c r="Q20" s="32">
        <v>0.399933</v>
      </c>
      <c r="R20" s="32">
        <v>0.399933</v>
      </c>
      <c r="S20" s="6">
        <v>2.0</v>
      </c>
      <c r="T20" s="6">
        <v>2.0</v>
      </c>
    </row>
    <row r="21">
      <c r="A21" s="34"/>
      <c r="B21" s="35" t="str">
        <f>IFERROR(
"DOM  M["&amp;VLOOKUP($A20,Projetos!$A:$L,4,FALSE)&amp;"] S["&amp;VLOOKUP($A20,Projetos!$A:$L,5,FALSE)&amp;"] C["&amp;VLOOKUP($A20,Projetos!$A:$L,6,FALSE)&amp;"]"&amp;CHAR(10)&amp;
"ECO  M["&amp;VLOOKUP($A20,Projetos!$A:$L,7,FALSE)&amp;"] S["&amp;VLOOKUP($A20,Projetos!$A:$L,8,FALSE)&amp;"] C["&amp;VLOOKUP($A20,Projetos!$A:$L,9,FALSE)&amp;"]"&amp;CHAR(10)&amp;
"LING M["&amp;VLOOKUP($A20,Projetos!$A:$L,10,FALSE)&amp;"] S["&amp;VLOOKUP($A20,Projetos!$A:$L,11,FALSE)&amp;"] C["&amp;VLOOKUP($A20,Projetos!$A:$L,12,FALSE)&amp;"]"
,"")
</f>
        <v>DOM  M[Web] S[Cloud] C[Desktop]
ECO  M[MongoDB] S[Angular, React] C[AWS Lambda]
LING M[JavaScript] S[TypeScript, Python] C[Java, C#]</v>
      </c>
      <c r="C21" s="6" t="s">
        <v>356</v>
      </c>
      <c r="D21" s="6" t="s">
        <v>121</v>
      </c>
      <c r="E21" s="6" t="s">
        <v>41</v>
      </c>
      <c r="F21" s="6" t="s">
        <v>170</v>
      </c>
      <c r="G21" s="6" t="s">
        <v>174</v>
      </c>
      <c r="H21" s="6">
        <v>3.0</v>
      </c>
      <c r="I21" s="6">
        <v>3.0</v>
      </c>
      <c r="J21" s="6">
        <v>3.0</v>
      </c>
      <c r="K21" s="6">
        <v>2.0</v>
      </c>
      <c r="L21" s="6">
        <v>2.0</v>
      </c>
      <c r="M21" s="6">
        <v>3.0</v>
      </c>
      <c r="N21" s="38">
        <v>3.0</v>
      </c>
      <c r="O21" s="6">
        <v>2.0</v>
      </c>
      <c r="P21" s="6">
        <v>3.0</v>
      </c>
      <c r="Q21" s="36">
        <v>0.387124</v>
      </c>
      <c r="R21" s="32">
        <v>0.387124</v>
      </c>
      <c r="S21" s="6">
        <v>3.0</v>
      </c>
      <c r="T21" s="6">
        <v>3.0</v>
      </c>
    </row>
    <row r="22">
      <c r="A22" s="34"/>
      <c r="C22" s="6" t="s">
        <v>363</v>
      </c>
      <c r="D22" s="6" t="s">
        <v>143</v>
      </c>
      <c r="E22" s="6" t="s">
        <v>150</v>
      </c>
      <c r="F22" s="6" t="s">
        <v>21</v>
      </c>
      <c r="G22" s="6" t="s">
        <v>128</v>
      </c>
      <c r="H22" s="6">
        <v>1.0</v>
      </c>
      <c r="I22" s="6">
        <v>1.0</v>
      </c>
      <c r="J22" s="6">
        <v>2.0</v>
      </c>
      <c r="K22" s="38">
        <v>1.0</v>
      </c>
      <c r="L22" s="38">
        <v>1.0</v>
      </c>
      <c r="M22" s="6">
        <v>1.0</v>
      </c>
      <c r="N22" s="38">
        <v>1.0</v>
      </c>
      <c r="O22" s="38">
        <v>1.0</v>
      </c>
      <c r="P22" s="6">
        <v>1.0</v>
      </c>
      <c r="Q22" s="32">
        <v>0.48989</v>
      </c>
      <c r="R22" s="37">
        <v>0.48989</v>
      </c>
      <c r="S22" s="6">
        <v>1.0</v>
      </c>
      <c r="T22" s="38">
        <v>1.0</v>
      </c>
      <c r="U22" s="6" t="s">
        <v>297</v>
      </c>
    </row>
    <row r="23">
      <c r="A23" s="34"/>
      <c r="C23" s="6" t="s">
        <v>368</v>
      </c>
      <c r="D23" s="6" t="s">
        <v>217</v>
      </c>
      <c r="E23" s="6" t="s">
        <v>177</v>
      </c>
      <c r="F23" s="6" t="s">
        <v>90</v>
      </c>
      <c r="G23" s="6" t="s">
        <v>184</v>
      </c>
      <c r="H23" s="6">
        <v>3.0</v>
      </c>
      <c r="I23" s="6">
        <v>4.0</v>
      </c>
      <c r="J23" s="6">
        <v>5.0</v>
      </c>
      <c r="K23" s="6">
        <v>5.0</v>
      </c>
      <c r="L23" s="6">
        <v>5.0</v>
      </c>
      <c r="M23" s="6">
        <v>5.0</v>
      </c>
      <c r="N23" s="6">
        <v>5.0</v>
      </c>
      <c r="O23" s="6">
        <v>4.0</v>
      </c>
      <c r="P23" s="6">
        <v>5.0</v>
      </c>
      <c r="Q23" s="36">
        <v>0.325413</v>
      </c>
      <c r="R23" s="32">
        <v>0.325413</v>
      </c>
      <c r="S23" s="6">
        <v>5.0</v>
      </c>
      <c r="T23" s="6">
        <v>3.0</v>
      </c>
    </row>
    <row r="24">
      <c r="A24" s="40"/>
      <c r="B24" s="41"/>
      <c r="C24" s="6" t="s">
        <v>372</v>
      </c>
      <c r="D24" s="42" t="s">
        <v>155</v>
      </c>
      <c r="E24" s="42" t="s">
        <v>206</v>
      </c>
      <c r="F24" s="42" t="s">
        <v>51</v>
      </c>
      <c r="G24" s="42" t="s">
        <v>251</v>
      </c>
      <c r="H24" s="42">
        <v>4.0</v>
      </c>
      <c r="I24" s="42">
        <v>5.0</v>
      </c>
      <c r="J24" s="6">
        <v>4.0</v>
      </c>
      <c r="K24" s="6">
        <v>3.0</v>
      </c>
      <c r="L24" s="6">
        <v>3.0</v>
      </c>
      <c r="M24" s="6">
        <v>4.0</v>
      </c>
      <c r="N24" s="38">
        <v>4.0</v>
      </c>
      <c r="O24" s="6">
        <v>3.0</v>
      </c>
      <c r="P24" s="6">
        <v>4.0</v>
      </c>
      <c r="Q24" s="32">
        <v>0.387124</v>
      </c>
      <c r="R24" s="32">
        <v>0.387124</v>
      </c>
      <c r="S24" s="6">
        <v>3.0</v>
      </c>
      <c r="T24" s="22">
        <v>5.0</v>
      </c>
      <c r="U24" s="6" t="s">
        <v>376</v>
      </c>
    </row>
    <row r="25">
      <c r="A25" s="43"/>
    </row>
    <row r="26">
      <c r="A26" s="25" t="s">
        <v>142</v>
      </c>
      <c r="B26" s="29" t="str">
        <f>IFERROR(VLOOKUP(A26,Projetos!$A$2:$C$7,2,FALSE),"")
</f>
        <v>Critical Web + Cloud Platform</v>
      </c>
      <c r="C26" s="6" t="s">
        <v>380</v>
      </c>
      <c r="D26" s="30" t="s">
        <v>135</v>
      </c>
      <c r="E26" s="30" t="s">
        <v>176</v>
      </c>
      <c r="F26" s="30" t="s">
        <v>242</v>
      </c>
      <c r="G26" s="30" t="s">
        <v>133</v>
      </c>
      <c r="H26" s="30">
        <v>5.0</v>
      </c>
      <c r="I26" s="29"/>
      <c r="J26" s="6">
        <v>5.0</v>
      </c>
      <c r="K26" s="6">
        <v>4.0</v>
      </c>
      <c r="L26" s="38">
        <v>5.0</v>
      </c>
      <c r="M26" s="6">
        <v>5.0</v>
      </c>
      <c r="N26" s="38">
        <v>5.0</v>
      </c>
      <c r="O26" s="38">
        <v>5.0</v>
      </c>
      <c r="P26" s="6">
        <v>5.0</v>
      </c>
      <c r="Q26" s="32">
        <v>0.128993</v>
      </c>
      <c r="R26" s="37">
        <v>0.128993</v>
      </c>
      <c r="S26" s="6">
        <v>5.0</v>
      </c>
      <c r="T26" s="38">
        <v>5.0</v>
      </c>
      <c r="U26" s="6" t="s">
        <v>293</v>
      </c>
    </row>
    <row r="27">
      <c r="A27" s="34"/>
      <c r="B27" s="72" t="s">
        <v>386</v>
      </c>
      <c r="C27" s="6" t="s">
        <v>387</v>
      </c>
      <c r="D27" s="6" t="s">
        <v>217</v>
      </c>
      <c r="E27" s="6" t="s">
        <v>249</v>
      </c>
      <c r="F27" s="6" t="s">
        <v>226</v>
      </c>
      <c r="G27" s="6" t="s">
        <v>186</v>
      </c>
      <c r="H27" s="6">
        <v>2.0</v>
      </c>
      <c r="I27" s="73"/>
      <c r="J27" s="6">
        <v>1.0</v>
      </c>
      <c r="K27" s="6">
        <v>1.0</v>
      </c>
      <c r="L27" s="6">
        <v>1.0</v>
      </c>
      <c r="M27" s="6">
        <v>1.0</v>
      </c>
      <c r="N27" s="6">
        <v>1.0</v>
      </c>
      <c r="O27" s="6">
        <v>1.0</v>
      </c>
      <c r="P27" s="6">
        <v>1.0</v>
      </c>
      <c r="Q27" s="36">
        <v>0.375186</v>
      </c>
      <c r="R27" s="37">
        <v>0.375186</v>
      </c>
      <c r="S27" s="6">
        <v>1.0</v>
      </c>
      <c r="T27" s="38">
        <v>1.0</v>
      </c>
      <c r="U27" s="6" t="s">
        <v>297</v>
      </c>
    </row>
    <row r="28">
      <c r="A28" s="34"/>
      <c r="C28" s="6" t="s">
        <v>395</v>
      </c>
      <c r="D28" s="6" t="s">
        <v>191</v>
      </c>
      <c r="E28" s="6" t="s">
        <v>220</v>
      </c>
      <c r="F28" s="6" t="s">
        <v>199</v>
      </c>
      <c r="G28" s="6" t="s">
        <v>173</v>
      </c>
      <c r="H28" s="6">
        <v>3.0</v>
      </c>
      <c r="I28" s="73"/>
      <c r="J28" s="6">
        <v>2.0</v>
      </c>
      <c r="K28" s="6">
        <v>2.0</v>
      </c>
      <c r="L28" s="6">
        <v>2.0</v>
      </c>
      <c r="M28" s="6">
        <v>2.0</v>
      </c>
      <c r="N28" s="6">
        <v>2.0</v>
      </c>
      <c r="O28" s="38">
        <v>3.0</v>
      </c>
      <c r="P28" s="6">
        <v>2.0</v>
      </c>
      <c r="Q28" s="32">
        <v>0.225689</v>
      </c>
      <c r="R28" s="32">
        <v>0.225689</v>
      </c>
      <c r="S28" s="6">
        <v>2.0</v>
      </c>
      <c r="T28" s="6">
        <v>3.0</v>
      </c>
    </row>
    <row r="29">
      <c r="A29" s="34"/>
      <c r="C29" s="6" t="s">
        <v>400</v>
      </c>
      <c r="D29" s="6" t="s">
        <v>194</v>
      </c>
      <c r="E29" s="6" t="s">
        <v>38</v>
      </c>
      <c r="F29" s="6" t="s">
        <v>139</v>
      </c>
      <c r="G29" s="6" t="s">
        <v>233</v>
      </c>
      <c r="H29" s="6">
        <v>2.0</v>
      </c>
      <c r="I29" s="73"/>
      <c r="J29" s="6">
        <v>4.0</v>
      </c>
      <c r="K29" s="6">
        <v>5.0</v>
      </c>
      <c r="L29" s="6">
        <v>4.0</v>
      </c>
      <c r="M29" s="6">
        <v>4.0</v>
      </c>
      <c r="N29" s="6">
        <v>3.0</v>
      </c>
      <c r="O29" s="38">
        <v>2.0</v>
      </c>
      <c r="P29" s="6">
        <v>4.0</v>
      </c>
      <c r="Q29" s="36">
        <v>0.164574</v>
      </c>
      <c r="R29" s="32">
        <v>0.164574</v>
      </c>
      <c r="S29" s="6">
        <v>4.0</v>
      </c>
      <c r="T29" s="6">
        <v>1.0</v>
      </c>
    </row>
    <row r="30">
      <c r="A30" s="40"/>
      <c r="B30" s="41"/>
      <c r="C30" s="6" t="s">
        <v>407</v>
      </c>
      <c r="D30" s="42" t="s">
        <v>231</v>
      </c>
      <c r="E30" s="42" t="s">
        <v>201</v>
      </c>
      <c r="F30" s="42" t="s">
        <v>195</v>
      </c>
      <c r="G30" s="42" t="s">
        <v>190</v>
      </c>
      <c r="H30" s="42">
        <v>4.0</v>
      </c>
      <c r="I30" s="74"/>
      <c r="J30" s="6">
        <v>3.0</v>
      </c>
      <c r="K30" s="6">
        <v>3.0</v>
      </c>
      <c r="L30" s="6">
        <v>3.0</v>
      </c>
      <c r="M30" s="6">
        <v>3.0</v>
      </c>
      <c r="N30" s="38">
        <v>4.0</v>
      </c>
      <c r="O30" s="38">
        <v>4.0</v>
      </c>
      <c r="P30" s="6">
        <v>3.0</v>
      </c>
      <c r="Q30" s="32">
        <v>0.195508</v>
      </c>
      <c r="R30" s="32">
        <v>0.195508</v>
      </c>
      <c r="S30" s="6">
        <v>3.0</v>
      </c>
      <c r="T30" s="6">
        <v>4.0</v>
      </c>
    </row>
    <row r="31">
      <c r="A31" s="75"/>
      <c r="D31" s="42"/>
      <c r="E31" s="42"/>
      <c r="F31" s="42"/>
      <c r="G31" s="42"/>
      <c r="H31" s="42"/>
      <c r="I31" s="74"/>
    </row>
    <row r="32">
      <c r="A32" s="76" t="s">
        <v>158</v>
      </c>
      <c r="B32" s="73" t="str">
        <f>IFERROR(VLOOKUP(A32,Projetos!$A$2:$C$8,2,FALSE),"")
</f>
        <v>Critical Embedded Hardware Platform</v>
      </c>
      <c r="C32" s="6" t="s">
        <v>410</v>
      </c>
      <c r="D32" s="42" t="s">
        <v>272</v>
      </c>
      <c r="E32" s="42" t="s">
        <v>58</v>
      </c>
      <c r="F32" s="42" t="s">
        <v>276</v>
      </c>
      <c r="G32" s="42" t="s">
        <v>278</v>
      </c>
      <c r="H32" s="42">
        <v>2.0</v>
      </c>
      <c r="I32" s="42">
        <v>1.0</v>
      </c>
      <c r="J32" s="6">
        <v>2.0</v>
      </c>
      <c r="K32" s="6">
        <v>1.0</v>
      </c>
      <c r="L32" s="38">
        <v>2.0</v>
      </c>
      <c r="M32" s="6">
        <v>2.0</v>
      </c>
      <c r="N32" s="38">
        <v>2.0</v>
      </c>
      <c r="O32" s="6">
        <v>3.0</v>
      </c>
      <c r="P32" s="6">
        <v>2.0</v>
      </c>
      <c r="Q32" s="36">
        <v>0.254395</v>
      </c>
      <c r="R32" s="32">
        <v>0.254395</v>
      </c>
      <c r="S32" s="6">
        <v>2.0</v>
      </c>
      <c r="T32" s="6">
        <v>2.0</v>
      </c>
    </row>
    <row r="33">
      <c r="A33" s="34"/>
      <c r="B33" s="9" t="s">
        <v>430</v>
      </c>
      <c r="C33" s="6" t="s">
        <v>413</v>
      </c>
      <c r="D33" s="42" t="s">
        <v>236</v>
      </c>
      <c r="E33" s="42" t="s">
        <v>143</v>
      </c>
      <c r="F33" s="42" t="s">
        <v>38</v>
      </c>
      <c r="G33" s="42" t="s">
        <v>280</v>
      </c>
      <c r="H33" s="42">
        <v>1.0</v>
      </c>
      <c r="I33" s="42">
        <v>1.0</v>
      </c>
      <c r="J33" s="6">
        <v>1.0</v>
      </c>
      <c r="K33" s="6">
        <v>2.0</v>
      </c>
      <c r="L33" s="38">
        <v>1.0</v>
      </c>
      <c r="M33" s="6">
        <v>1.0</v>
      </c>
      <c r="N33" s="38">
        <v>1.0</v>
      </c>
      <c r="O33" s="38">
        <v>1.0</v>
      </c>
      <c r="P33" s="6">
        <v>1.0</v>
      </c>
      <c r="Q33" s="32">
        <v>0.275664</v>
      </c>
      <c r="R33" s="37">
        <v>0.275664</v>
      </c>
      <c r="S33" s="6">
        <v>1.0</v>
      </c>
      <c r="T33" s="38">
        <v>1.0</v>
      </c>
      <c r="U33" s="6" t="s">
        <v>297</v>
      </c>
    </row>
    <row r="34">
      <c r="A34" s="34"/>
      <c r="C34" s="6" t="s">
        <v>416</v>
      </c>
      <c r="D34" s="42" t="s">
        <v>259</v>
      </c>
      <c r="E34" s="42" t="s">
        <v>282</v>
      </c>
      <c r="F34" s="42" t="s">
        <v>222</v>
      </c>
      <c r="G34" s="42" t="s">
        <v>73</v>
      </c>
      <c r="H34" s="42">
        <v>2.0</v>
      </c>
      <c r="I34" s="42">
        <v>3.0</v>
      </c>
      <c r="J34" s="6">
        <v>3.0</v>
      </c>
      <c r="K34" s="6">
        <v>3.0</v>
      </c>
      <c r="L34" s="6">
        <v>3.0</v>
      </c>
      <c r="M34" s="6">
        <v>3.0</v>
      </c>
      <c r="N34" s="6">
        <v>3.0</v>
      </c>
      <c r="O34" s="6">
        <v>4.0</v>
      </c>
      <c r="P34" s="6">
        <v>3.0</v>
      </c>
      <c r="Q34" s="36">
        <v>0.254395</v>
      </c>
      <c r="R34" s="32">
        <v>0.254395</v>
      </c>
      <c r="S34" s="6">
        <v>2.0</v>
      </c>
      <c r="T34" s="6">
        <v>2.0</v>
      </c>
    </row>
    <row r="35">
      <c r="A35" s="34"/>
      <c r="C35" s="6" t="s">
        <v>420</v>
      </c>
      <c r="D35" s="42" t="s">
        <v>283</v>
      </c>
      <c r="E35" s="42" t="s">
        <v>271</v>
      </c>
      <c r="F35" s="42" t="s">
        <v>21</v>
      </c>
      <c r="G35" s="42" t="s">
        <v>285</v>
      </c>
      <c r="H35" s="42">
        <v>5.0</v>
      </c>
      <c r="I35" s="42">
        <v>5.0</v>
      </c>
      <c r="J35" s="6">
        <v>4.0</v>
      </c>
      <c r="K35" s="6">
        <v>4.0</v>
      </c>
      <c r="L35" s="6">
        <v>4.0</v>
      </c>
      <c r="M35" s="6">
        <v>4.0</v>
      </c>
      <c r="N35" s="6">
        <v>4.0</v>
      </c>
      <c r="O35" s="6">
        <v>2.0</v>
      </c>
      <c r="P35" s="6">
        <v>4.0</v>
      </c>
      <c r="Q35" s="79">
        <v>0.15454</v>
      </c>
      <c r="R35" s="79">
        <v>0.15454</v>
      </c>
      <c r="S35" s="6">
        <v>4.0</v>
      </c>
      <c r="T35" s="22">
        <v>4.0</v>
      </c>
      <c r="U35" s="6" t="s">
        <v>431</v>
      </c>
    </row>
    <row r="36">
      <c r="A36" s="40"/>
      <c r="C36" s="6" t="s">
        <v>426</v>
      </c>
      <c r="D36" s="42" t="s">
        <v>287</v>
      </c>
      <c r="E36" s="42" t="s">
        <v>288</v>
      </c>
      <c r="F36" s="42" t="s">
        <v>290</v>
      </c>
      <c r="G36" s="42" t="s">
        <v>260</v>
      </c>
      <c r="H36" s="42">
        <v>5.0</v>
      </c>
      <c r="I36" s="42">
        <v>5.0</v>
      </c>
      <c r="J36" s="6">
        <v>5.0</v>
      </c>
      <c r="K36" s="38">
        <v>5.0</v>
      </c>
      <c r="L36" s="38">
        <v>5.0</v>
      </c>
      <c r="M36" s="6">
        <v>5.0</v>
      </c>
      <c r="N36" s="38">
        <v>5.0</v>
      </c>
      <c r="O36" s="38">
        <v>5.0</v>
      </c>
      <c r="P36" s="6">
        <v>5.0</v>
      </c>
      <c r="Q36" s="79">
        <v>0.122672</v>
      </c>
      <c r="R36" s="32">
        <v>0.122672</v>
      </c>
      <c r="S36" s="6">
        <v>5.0</v>
      </c>
      <c r="T36" s="6">
        <v>4.0</v>
      </c>
    </row>
    <row r="37">
      <c r="K37" s="80"/>
      <c r="L37" s="80"/>
      <c r="M37" s="80"/>
      <c r="N37" s="80"/>
      <c r="O37" s="80"/>
      <c r="P37" s="80"/>
      <c r="Q37" s="80"/>
      <c r="R37" s="80"/>
    </row>
    <row r="38">
      <c r="K38" s="80"/>
      <c r="L38" s="80"/>
      <c r="M38" s="80"/>
      <c r="N38" s="80"/>
      <c r="O38" s="80"/>
      <c r="P38" s="80"/>
      <c r="Q38" s="80"/>
      <c r="R38" s="80"/>
    </row>
    <row r="39">
      <c r="K39" s="80"/>
      <c r="L39" s="80"/>
      <c r="M39" s="80"/>
      <c r="N39" s="80"/>
      <c r="O39" s="80"/>
      <c r="P39" s="80"/>
      <c r="Q39" s="80"/>
      <c r="R39" s="80"/>
    </row>
    <row r="40">
      <c r="K40" s="80"/>
      <c r="L40" s="80"/>
      <c r="M40" s="80"/>
      <c r="N40" s="80"/>
      <c r="O40" s="80"/>
      <c r="P40" s="80"/>
      <c r="Q40" s="80"/>
      <c r="R40" s="80"/>
    </row>
    <row r="41">
      <c r="K41" s="80"/>
      <c r="L41" s="80"/>
      <c r="M41" s="80"/>
      <c r="N41" s="80"/>
      <c r="O41" s="80"/>
      <c r="P41" s="80"/>
      <c r="Q41" s="80"/>
      <c r="R41" s="80"/>
    </row>
    <row r="42">
      <c r="K42" s="80"/>
      <c r="L42" s="80"/>
      <c r="M42" s="80"/>
      <c r="N42" s="80"/>
      <c r="O42" s="80"/>
      <c r="P42" s="80"/>
      <c r="Q42" s="80"/>
      <c r="R42" s="80"/>
    </row>
    <row r="43">
      <c r="K43" s="80"/>
      <c r="L43" s="80"/>
      <c r="M43" s="80"/>
      <c r="N43" s="80"/>
      <c r="O43" s="80"/>
      <c r="P43" s="80"/>
      <c r="Q43" s="80"/>
      <c r="R43" s="80"/>
    </row>
    <row r="44">
      <c r="K44" s="80"/>
      <c r="L44" s="80"/>
      <c r="M44" s="80"/>
      <c r="N44" s="80"/>
      <c r="O44" s="80"/>
      <c r="P44" s="80"/>
      <c r="Q44" s="80"/>
      <c r="R44" s="80"/>
    </row>
    <row r="45">
      <c r="K45" s="80"/>
      <c r="L45" s="80"/>
      <c r="M45" s="80"/>
      <c r="N45" s="80"/>
      <c r="O45" s="80"/>
      <c r="P45" s="80"/>
      <c r="Q45" s="80"/>
      <c r="R45" s="80"/>
    </row>
    <row r="46">
      <c r="K46" s="80"/>
      <c r="L46" s="80"/>
      <c r="M46" s="80"/>
      <c r="N46" s="80"/>
      <c r="O46" s="80"/>
      <c r="P46" s="80"/>
      <c r="Q46" s="80"/>
      <c r="R46" s="80"/>
    </row>
    <row r="47">
      <c r="K47" s="80"/>
      <c r="L47" s="80"/>
      <c r="M47" s="80"/>
      <c r="N47" s="80"/>
      <c r="O47" s="80"/>
      <c r="P47" s="80"/>
      <c r="Q47" s="80"/>
      <c r="R47" s="80"/>
    </row>
    <row r="48">
      <c r="K48" s="80"/>
      <c r="L48" s="80"/>
      <c r="M48" s="80"/>
      <c r="N48" s="80"/>
      <c r="O48" s="80"/>
      <c r="P48" s="80"/>
      <c r="Q48" s="80"/>
      <c r="R48" s="80"/>
    </row>
    <row r="49">
      <c r="K49" s="80"/>
      <c r="L49" s="80"/>
      <c r="M49" s="80"/>
      <c r="N49" s="80"/>
      <c r="O49" s="80"/>
      <c r="P49" s="80"/>
      <c r="Q49" s="80"/>
      <c r="R49" s="80"/>
    </row>
    <row r="50">
      <c r="K50" s="80"/>
      <c r="L50" s="80"/>
      <c r="M50" s="80"/>
      <c r="N50" s="80"/>
      <c r="O50" s="80"/>
      <c r="P50" s="80"/>
      <c r="Q50" s="80"/>
      <c r="R50" s="80"/>
    </row>
    <row r="51">
      <c r="K51" s="80"/>
      <c r="L51" s="80"/>
      <c r="M51" s="80"/>
      <c r="N51" s="80"/>
      <c r="O51" s="80"/>
      <c r="P51" s="80"/>
      <c r="Q51" s="80"/>
      <c r="R51" s="80"/>
    </row>
    <row r="52">
      <c r="K52" s="80"/>
      <c r="L52" s="80"/>
      <c r="M52" s="80"/>
      <c r="N52" s="80"/>
      <c r="O52" s="80"/>
      <c r="P52" s="80"/>
      <c r="Q52" s="80"/>
      <c r="R52" s="80"/>
    </row>
    <row r="53">
      <c r="K53" s="80"/>
      <c r="L53" s="80"/>
      <c r="M53" s="80"/>
      <c r="N53" s="80"/>
      <c r="O53" s="80"/>
      <c r="P53" s="80"/>
      <c r="Q53" s="80"/>
      <c r="R53" s="80"/>
    </row>
    <row r="54">
      <c r="K54" s="80"/>
      <c r="L54" s="80"/>
      <c r="M54" s="80"/>
      <c r="N54" s="80"/>
      <c r="O54" s="80"/>
      <c r="P54" s="80"/>
      <c r="Q54" s="80"/>
      <c r="R54" s="80"/>
    </row>
    <row r="55">
      <c r="K55" s="80"/>
      <c r="L55" s="80"/>
      <c r="M55" s="80"/>
      <c r="N55" s="80"/>
      <c r="O55" s="80"/>
      <c r="P55" s="80"/>
      <c r="Q55" s="80"/>
      <c r="R55" s="80"/>
    </row>
    <row r="56">
      <c r="K56" s="80"/>
      <c r="L56" s="80"/>
      <c r="M56" s="80"/>
      <c r="N56" s="80"/>
      <c r="O56" s="80"/>
      <c r="P56" s="80"/>
      <c r="Q56" s="80"/>
      <c r="R56" s="80"/>
    </row>
    <row r="57">
      <c r="K57" s="80"/>
      <c r="L57" s="80"/>
      <c r="M57" s="80"/>
      <c r="N57" s="80"/>
      <c r="O57" s="80"/>
      <c r="P57" s="80"/>
      <c r="Q57" s="80"/>
      <c r="R57" s="80"/>
    </row>
    <row r="58">
      <c r="K58" s="80"/>
      <c r="L58" s="80"/>
      <c r="M58" s="80"/>
      <c r="N58" s="80"/>
      <c r="O58" s="80"/>
      <c r="P58" s="80"/>
      <c r="Q58" s="80"/>
      <c r="R58" s="80"/>
    </row>
    <row r="59">
      <c r="K59" s="80"/>
      <c r="L59" s="80"/>
      <c r="M59" s="80"/>
      <c r="N59" s="80"/>
      <c r="O59" s="80"/>
      <c r="P59" s="80"/>
      <c r="Q59" s="80"/>
      <c r="R59" s="80"/>
    </row>
    <row r="60">
      <c r="K60" s="80"/>
      <c r="L60" s="80"/>
      <c r="M60" s="80"/>
      <c r="N60" s="80"/>
      <c r="O60" s="80"/>
      <c r="P60" s="80"/>
      <c r="Q60" s="80"/>
      <c r="R60" s="80"/>
    </row>
    <row r="61">
      <c r="K61" s="80"/>
      <c r="L61" s="80"/>
      <c r="M61" s="80"/>
      <c r="N61" s="80"/>
      <c r="O61" s="80"/>
      <c r="P61" s="80"/>
      <c r="Q61" s="80"/>
      <c r="R61" s="80"/>
    </row>
    <row r="62">
      <c r="K62" s="80"/>
      <c r="L62" s="80"/>
      <c r="M62" s="80"/>
      <c r="N62" s="80"/>
      <c r="O62" s="80"/>
      <c r="P62" s="80"/>
      <c r="Q62" s="80"/>
      <c r="R62" s="80"/>
    </row>
    <row r="63">
      <c r="K63" s="80"/>
      <c r="L63" s="80"/>
      <c r="M63" s="80"/>
      <c r="N63" s="80"/>
      <c r="O63" s="80"/>
      <c r="P63" s="80"/>
      <c r="Q63" s="80"/>
      <c r="R63" s="80"/>
    </row>
    <row r="64">
      <c r="K64" s="80"/>
      <c r="L64" s="80"/>
      <c r="M64" s="80"/>
      <c r="N64" s="80"/>
      <c r="O64" s="80"/>
      <c r="P64" s="80"/>
      <c r="Q64" s="80"/>
      <c r="R64" s="80"/>
    </row>
    <row r="65">
      <c r="K65" s="80"/>
      <c r="L65" s="80"/>
      <c r="M65" s="80"/>
      <c r="N65" s="80"/>
      <c r="O65" s="80"/>
      <c r="P65" s="80"/>
      <c r="Q65" s="80"/>
      <c r="R65" s="80"/>
    </row>
    <row r="66">
      <c r="K66" s="80"/>
      <c r="L66" s="80"/>
      <c r="M66" s="80"/>
      <c r="N66" s="80"/>
      <c r="O66" s="80"/>
      <c r="P66" s="80"/>
      <c r="Q66" s="80"/>
      <c r="R66" s="80"/>
    </row>
    <row r="67">
      <c r="K67" s="80"/>
      <c r="L67" s="80"/>
      <c r="M67" s="80"/>
      <c r="N67" s="80"/>
      <c r="O67" s="80"/>
      <c r="P67" s="80"/>
      <c r="Q67" s="80"/>
      <c r="R67" s="80"/>
    </row>
    <row r="68">
      <c r="K68" s="80"/>
      <c r="L68" s="80"/>
      <c r="M68" s="80"/>
      <c r="N68" s="80"/>
      <c r="O68" s="80"/>
      <c r="P68" s="80"/>
      <c r="Q68" s="80"/>
      <c r="R68" s="80"/>
    </row>
    <row r="69">
      <c r="K69" s="80"/>
      <c r="L69" s="80"/>
      <c r="M69" s="80"/>
      <c r="N69" s="80"/>
      <c r="O69" s="80"/>
      <c r="P69" s="80"/>
      <c r="Q69" s="80"/>
      <c r="R69" s="80"/>
    </row>
    <row r="70">
      <c r="K70" s="80"/>
      <c r="L70" s="80"/>
      <c r="M70" s="80"/>
      <c r="N70" s="80"/>
      <c r="O70" s="80"/>
      <c r="P70" s="80"/>
      <c r="Q70" s="80"/>
      <c r="R70" s="80"/>
    </row>
    <row r="71">
      <c r="K71" s="80"/>
      <c r="L71" s="80"/>
      <c r="M71" s="80"/>
      <c r="N71" s="80"/>
      <c r="O71" s="80"/>
      <c r="P71" s="80"/>
      <c r="Q71" s="80"/>
      <c r="R71" s="80"/>
    </row>
    <row r="72">
      <c r="K72" s="80"/>
      <c r="L72" s="80"/>
      <c r="M72" s="80"/>
      <c r="N72" s="80"/>
      <c r="O72" s="80"/>
      <c r="P72" s="80"/>
      <c r="Q72" s="80"/>
      <c r="R72" s="80"/>
    </row>
    <row r="73">
      <c r="K73" s="80"/>
      <c r="L73" s="80"/>
      <c r="M73" s="80"/>
      <c r="N73" s="80"/>
      <c r="O73" s="80"/>
      <c r="P73" s="80"/>
      <c r="Q73" s="80"/>
      <c r="R73" s="80"/>
    </row>
    <row r="74">
      <c r="K74" s="80"/>
      <c r="L74" s="80"/>
      <c r="M74" s="80"/>
      <c r="N74" s="80"/>
      <c r="O74" s="80"/>
      <c r="P74" s="80"/>
      <c r="Q74" s="80"/>
      <c r="R74" s="80"/>
    </row>
    <row r="75">
      <c r="K75" s="80"/>
      <c r="L75" s="80"/>
      <c r="M75" s="80"/>
      <c r="N75" s="80"/>
      <c r="O75" s="80"/>
      <c r="P75" s="80"/>
      <c r="Q75" s="80"/>
      <c r="R75" s="80"/>
    </row>
    <row r="76">
      <c r="K76" s="80"/>
      <c r="L76" s="80"/>
      <c r="M76" s="80"/>
      <c r="N76" s="80"/>
      <c r="O76" s="80"/>
      <c r="P76" s="80"/>
      <c r="Q76" s="80"/>
      <c r="R76" s="80"/>
    </row>
    <row r="77">
      <c r="K77" s="80"/>
      <c r="L77" s="80"/>
      <c r="M77" s="80"/>
      <c r="N77" s="80"/>
      <c r="O77" s="80"/>
      <c r="P77" s="80"/>
      <c r="Q77" s="80"/>
      <c r="R77" s="80"/>
    </row>
    <row r="78">
      <c r="K78" s="80"/>
      <c r="L78" s="80"/>
      <c r="M78" s="80"/>
      <c r="N78" s="80"/>
      <c r="O78" s="80"/>
      <c r="P78" s="80"/>
      <c r="Q78" s="80"/>
      <c r="R78" s="80"/>
    </row>
    <row r="79">
      <c r="K79" s="80"/>
      <c r="L79" s="80"/>
      <c r="M79" s="80"/>
      <c r="N79" s="80"/>
      <c r="O79" s="80"/>
      <c r="P79" s="80"/>
      <c r="Q79" s="80"/>
      <c r="R79" s="80"/>
    </row>
    <row r="80">
      <c r="K80" s="80"/>
      <c r="L80" s="80"/>
      <c r="M80" s="80"/>
      <c r="N80" s="80"/>
      <c r="O80" s="80"/>
      <c r="P80" s="80"/>
      <c r="Q80" s="80"/>
      <c r="R80" s="80"/>
    </row>
    <row r="81">
      <c r="K81" s="80"/>
      <c r="L81" s="80"/>
      <c r="M81" s="80"/>
      <c r="N81" s="80"/>
      <c r="O81" s="80"/>
      <c r="P81" s="80"/>
      <c r="Q81" s="80"/>
      <c r="R81" s="80"/>
    </row>
    <row r="82">
      <c r="K82" s="80"/>
      <c r="L82" s="80"/>
      <c r="M82" s="80"/>
      <c r="N82" s="80"/>
      <c r="O82" s="80"/>
      <c r="P82" s="80"/>
      <c r="Q82" s="80"/>
      <c r="R82" s="80"/>
    </row>
    <row r="83">
      <c r="K83" s="80"/>
      <c r="L83" s="80"/>
      <c r="M83" s="80"/>
      <c r="N83" s="80"/>
      <c r="O83" s="80"/>
      <c r="P83" s="80"/>
      <c r="Q83" s="80"/>
      <c r="R83" s="80"/>
    </row>
    <row r="84">
      <c r="K84" s="80"/>
      <c r="L84" s="80"/>
      <c r="M84" s="80"/>
      <c r="N84" s="80"/>
      <c r="O84" s="80"/>
      <c r="P84" s="80"/>
      <c r="Q84" s="80"/>
      <c r="R84" s="80"/>
    </row>
    <row r="85">
      <c r="K85" s="80"/>
      <c r="L85" s="80"/>
      <c r="M85" s="80"/>
      <c r="N85" s="80"/>
      <c r="O85" s="80"/>
      <c r="P85" s="80"/>
      <c r="Q85" s="80"/>
      <c r="R85" s="80"/>
    </row>
    <row r="86">
      <c r="K86" s="80"/>
      <c r="L86" s="80"/>
      <c r="M86" s="80"/>
      <c r="N86" s="80"/>
      <c r="O86" s="80"/>
      <c r="P86" s="80"/>
      <c r="Q86" s="80"/>
      <c r="R86" s="80"/>
    </row>
    <row r="87">
      <c r="K87" s="80"/>
      <c r="L87" s="80"/>
      <c r="M87" s="80"/>
      <c r="N87" s="80"/>
      <c r="O87" s="80"/>
      <c r="P87" s="80"/>
      <c r="Q87" s="80"/>
      <c r="R87" s="80"/>
    </row>
    <row r="88">
      <c r="K88" s="80"/>
      <c r="L88" s="80"/>
      <c r="M88" s="80"/>
      <c r="N88" s="80"/>
      <c r="O88" s="80"/>
      <c r="P88" s="80"/>
      <c r="Q88" s="80"/>
      <c r="R88" s="80"/>
    </row>
    <row r="89">
      <c r="K89" s="80"/>
      <c r="L89" s="80"/>
      <c r="M89" s="80"/>
      <c r="N89" s="80"/>
      <c r="O89" s="80"/>
      <c r="P89" s="80"/>
      <c r="Q89" s="80"/>
      <c r="R89" s="80"/>
    </row>
    <row r="90">
      <c r="K90" s="80"/>
      <c r="L90" s="80"/>
      <c r="M90" s="80"/>
      <c r="N90" s="80"/>
      <c r="O90" s="80"/>
      <c r="P90" s="80"/>
      <c r="Q90" s="80"/>
      <c r="R90" s="80"/>
    </row>
    <row r="91">
      <c r="K91" s="80"/>
      <c r="L91" s="80"/>
      <c r="M91" s="80"/>
      <c r="N91" s="80"/>
      <c r="O91" s="80"/>
      <c r="P91" s="80"/>
      <c r="Q91" s="80"/>
      <c r="R91" s="80"/>
    </row>
    <row r="92">
      <c r="K92" s="80"/>
      <c r="L92" s="80"/>
      <c r="M92" s="80"/>
      <c r="N92" s="80"/>
      <c r="O92" s="80"/>
      <c r="P92" s="80"/>
      <c r="Q92" s="80"/>
      <c r="R92" s="80"/>
    </row>
    <row r="93">
      <c r="K93" s="80"/>
      <c r="L93" s="80"/>
      <c r="M93" s="80"/>
      <c r="N93" s="80"/>
      <c r="O93" s="80"/>
      <c r="P93" s="80"/>
      <c r="Q93" s="80"/>
      <c r="R93" s="80"/>
    </row>
    <row r="94">
      <c r="K94" s="80"/>
      <c r="L94" s="80"/>
      <c r="M94" s="80"/>
      <c r="N94" s="80"/>
      <c r="O94" s="80"/>
      <c r="P94" s="80"/>
      <c r="Q94" s="80"/>
      <c r="R94" s="80"/>
    </row>
    <row r="95">
      <c r="K95" s="80"/>
      <c r="L95" s="80"/>
      <c r="M95" s="80"/>
      <c r="N95" s="80"/>
      <c r="O95" s="80"/>
      <c r="P95" s="80"/>
      <c r="Q95" s="80"/>
      <c r="R95" s="80"/>
    </row>
    <row r="96">
      <c r="K96" s="80"/>
      <c r="L96" s="80"/>
      <c r="M96" s="80"/>
      <c r="N96" s="80"/>
      <c r="O96" s="80"/>
      <c r="P96" s="80"/>
      <c r="Q96" s="80"/>
      <c r="R96" s="80"/>
    </row>
    <row r="97">
      <c r="K97" s="80"/>
      <c r="L97" s="80"/>
      <c r="M97" s="80"/>
      <c r="N97" s="80"/>
      <c r="O97" s="80"/>
      <c r="P97" s="80"/>
      <c r="Q97" s="80"/>
      <c r="R97" s="80"/>
    </row>
    <row r="98">
      <c r="K98" s="80"/>
      <c r="L98" s="80"/>
      <c r="M98" s="80"/>
      <c r="N98" s="80"/>
      <c r="O98" s="80"/>
      <c r="P98" s="80"/>
      <c r="Q98" s="80"/>
      <c r="R98" s="80"/>
    </row>
    <row r="99">
      <c r="K99" s="80"/>
      <c r="L99" s="80"/>
      <c r="M99" s="80"/>
      <c r="N99" s="80"/>
      <c r="O99" s="80"/>
      <c r="P99" s="80"/>
      <c r="Q99" s="80"/>
      <c r="R99" s="80"/>
    </row>
    <row r="100">
      <c r="K100" s="80"/>
      <c r="L100" s="80"/>
      <c r="M100" s="80"/>
      <c r="N100" s="80"/>
      <c r="O100" s="80"/>
      <c r="P100" s="80"/>
      <c r="Q100" s="80"/>
      <c r="R100" s="80"/>
    </row>
    <row r="101">
      <c r="K101" s="80"/>
      <c r="L101" s="80"/>
      <c r="M101" s="80"/>
      <c r="N101" s="80"/>
      <c r="O101" s="80"/>
      <c r="P101" s="80"/>
      <c r="Q101" s="80"/>
      <c r="R101" s="80"/>
    </row>
    <row r="102">
      <c r="K102" s="80"/>
      <c r="L102" s="80"/>
      <c r="M102" s="80"/>
      <c r="N102" s="80"/>
      <c r="O102" s="80"/>
      <c r="P102" s="80"/>
      <c r="Q102" s="80"/>
      <c r="R102" s="80"/>
    </row>
    <row r="103">
      <c r="K103" s="80"/>
      <c r="L103" s="80"/>
      <c r="M103" s="80"/>
      <c r="N103" s="80"/>
      <c r="O103" s="80"/>
      <c r="P103" s="80"/>
      <c r="Q103" s="80"/>
      <c r="R103" s="80"/>
    </row>
    <row r="104">
      <c r="K104" s="80"/>
      <c r="L104" s="80"/>
      <c r="M104" s="80"/>
      <c r="N104" s="80"/>
      <c r="O104" s="80"/>
      <c r="P104" s="80"/>
      <c r="Q104" s="80"/>
      <c r="R104" s="80"/>
    </row>
    <row r="105">
      <c r="K105" s="80"/>
      <c r="L105" s="80"/>
      <c r="M105" s="80"/>
      <c r="N105" s="80"/>
      <c r="O105" s="80"/>
      <c r="P105" s="80"/>
      <c r="Q105" s="80"/>
      <c r="R105" s="80"/>
    </row>
    <row r="106">
      <c r="K106" s="80"/>
      <c r="L106" s="80"/>
      <c r="M106" s="80"/>
      <c r="N106" s="80"/>
      <c r="O106" s="80"/>
      <c r="P106" s="80"/>
      <c r="Q106" s="80"/>
      <c r="R106" s="80"/>
    </row>
    <row r="107">
      <c r="K107" s="80"/>
      <c r="L107" s="80"/>
      <c r="M107" s="80"/>
      <c r="N107" s="80"/>
      <c r="O107" s="80"/>
      <c r="P107" s="80"/>
      <c r="Q107" s="80"/>
      <c r="R107" s="80"/>
    </row>
    <row r="108">
      <c r="K108" s="80"/>
      <c r="L108" s="80"/>
      <c r="M108" s="80"/>
      <c r="N108" s="80"/>
      <c r="O108" s="80"/>
      <c r="P108" s="80"/>
      <c r="Q108" s="80"/>
      <c r="R108" s="80"/>
    </row>
    <row r="109">
      <c r="K109" s="80"/>
      <c r="L109" s="80"/>
      <c r="M109" s="80"/>
      <c r="N109" s="80"/>
      <c r="O109" s="80"/>
      <c r="P109" s="80"/>
      <c r="Q109" s="80"/>
      <c r="R109" s="80"/>
    </row>
    <row r="110">
      <c r="K110" s="80"/>
      <c r="L110" s="80"/>
      <c r="M110" s="80"/>
      <c r="N110" s="80"/>
      <c r="O110" s="80"/>
      <c r="P110" s="80"/>
      <c r="Q110" s="80"/>
      <c r="R110" s="80"/>
    </row>
    <row r="111">
      <c r="K111" s="80"/>
      <c r="L111" s="80"/>
      <c r="M111" s="80"/>
      <c r="N111" s="80"/>
      <c r="O111" s="80"/>
      <c r="P111" s="80"/>
      <c r="Q111" s="80"/>
      <c r="R111" s="80"/>
    </row>
    <row r="112">
      <c r="K112" s="80"/>
      <c r="L112" s="80"/>
      <c r="M112" s="80"/>
      <c r="N112" s="80"/>
      <c r="O112" s="80"/>
      <c r="P112" s="80"/>
      <c r="Q112" s="80"/>
      <c r="R112" s="80"/>
    </row>
    <row r="113">
      <c r="K113" s="80"/>
      <c r="L113" s="80"/>
      <c r="M113" s="80"/>
      <c r="N113" s="80"/>
      <c r="O113" s="80"/>
      <c r="P113" s="80"/>
      <c r="Q113" s="80"/>
      <c r="R113" s="80"/>
    </row>
    <row r="114">
      <c r="K114" s="80"/>
      <c r="L114" s="80"/>
      <c r="M114" s="80"/>
      <c r="N114" s="80"/>
      <c r="O114" s="80"/>
      <c r="P114" s="80"/>
      <c r="Q114" s="80"/>
      <c r="R114" s="80"/>
    </row>
    <row r="115">
      <c r="K115" s="80"/>
      <c r="L115" s="80"/>
      <c r="M115" s="80"/>
      <c r="N115" s="80"/>
      <c r="O115" s="80"/>
      <c r="P115" s="80"/>
      <c r="Q115" s="80"/>
      <c r="R115" s="80"/>
    </row>
    <row r="116">
      <c r="K116" s="80"/>
      <c r="L116" s="80"/>
      <c r="M116" s="80"/>
      <c r="N116" s="80"/>
      <c r="O116" s="80"/>
      <c r="P116" s="80"/>
      <c r="Q116" s="80"/>
      <c r="R116" s="80"/>
    </row>
    <row r="117">
      <c r="K117" s="80"/>
      <c r="L117" s="80"/>
      <c r="M117" s="80"/>
      <c r="N117" s="80"/>
      <c r="O117" s="80"/>
      <c r="P117" s="80"/>
      <c r="Q117" s="80"/>
      <c r="R117" s="80"/>
    </row>
    <row r="118">
      <c r="K118" s="80"/>
      <c r="L118" s="80"/>
      <c r="M118" s="80"/>
      <c r="N118" s="80"/>
      <c r="O118" s="80"/>
      <c r="P118" s="80"/>
      <c r="Q118" s="80"/>
      <c r="R118" s="80"/>
    </row>
    <row r="119">
      <c r="K119" s="80"/>
      <c r="L119" s="80"/>
      <c r="M119" s="80"/>
      <c r="N119" s="80"/>
      <c r="O119" s="80"/>
      <c r="P119" s="80"/>
      <c r="Q119" s="80"/>
      <c r="R119" s="80"/>
    </row>
    <row r="120">
      <c r="K120" s="80"/>
      <c r="L120" s="80"/>
      <c r="M120" s="80"/>
      <c r="N120" s="80"/>
      <c r="O120" s="80"/>
      <c r="P120" s="80"/>
      <c r="Q120" s="80"/>
      <c r="R120" s="80"/>
    </row>
    <row r="121">
      <c r="K121" s="80"/>
      <c r="L121" s="80"/>
      <c r="M121" s="80"/>
      <c r="N121" s="80"/>
      <c r="O121" s="80"/>
      <c r="P121" s="80"/>
      <c r="Q121" s="80"/>
      <c r="R121" s="80"/>
    </row>
    <row r="122">
      <c r="K122" s="80"/>
      <c r="L122" s="80"/>
      <c r="M122" s="80"/>
      <c r="N122" s="80"/>
      <c r="O122" s="80"/>
      <c r="P122" s="80"/>
      <c r="Q122" s="80"/>
      <c r="R122" s="80"/>
    </row>
    <row r="123">
      <c r="K123" s="80"/>
      <c r="L123" s="80"/>
      <c r="M123" s="80"/>
      <c r="N123" s="80"/>
      <c r="O123" s="80"/>
      <c r="P123" s="80"/>
      <c r="Q123" s="80"/>
      <c r="R123" s="80"/>
    </row>
    <row r="124">
      <c r="K124" s="80"/>
      <c r="L124" s="80"/>
      <c r="M124" s="80"/>
      <c r="N124" s="80"/>
      <c r="O124" s="80"/>
      <c r="P124" s="80"/>
      <c r="Q124" s="80"/>
      <c r="R124" s="80"/>
    </row>
    <row r="125">
      <c r="K125" s="80"/>
      <c r="L125" s="80"/>
      <c r="M125" s="80"/>
      <c r="N125" s="80"/>
      <c r="O125" s="80"/>
      <c r="P125" s="80"/>
      <c r="Q125" s="80"/>
      <c r="R125" s="80"/>
    </row>
    <row r="126">
      <c r="K126" s="80"/>
      <c r="L126" s="80"/>
      <c r="M126" s="80"/>
      <c r="N126" s="80"/>
      <c r="O126" s="80"/>
      <c r="P126" s="80"/>
      <c r="Q126" s="80"/>
      <c r="R126" s="80"/>
    </row>
    <row r="127">
      <c r="K127" s="80"/>
      <c r="L127" s="80"/>
      <c r="M127" s="80"/>
      <c r="N127" s="80"/>
      <c r="O127" s="80"/>
      <c r="P127" s="80"/>
      <c r="Q127" s="80"/>
      <c r="R127" s="80"/>
    </row>
    <row r="128">
      <c r="K128" s="80"/>
      <c r="L128" s="80"/>
      <c r="M128" s="80"/>
      <c r="N128" s="80"/>
      <c r="O128" s="80"/>
      <c r="P128" s="80"/>
      <c r="Q128" s="80"/>
      <c r="R128" s="80"/>
    </row>
    <row r="129">
      <c r="K129" s="80"/>
      <c r="L129" s="80"/>
      <c r="M129" s="80"/>
      <c r="N129" s="80"/>
      <c r="O129" s="80"/>
      <c r="P129" s="80"/>
      <c r="Q129" s="80"/>
      <c r="R129" s="80"/>
    </row>
    <row r="130">
      <c r="K130" s="80"/>
      <c r="L130" s="80"/>
      <c r="M130" s="80"/>
      <c r="N130" s="80"/>
      <c r="O130" s="80"/>
      <c r="P130" s="80"/>
      <c r="Q130" s="80"/>
      <c r="R130" s="80"/>
    </row>
    <row r="131">
      <c r="K131" s="80"/>
      <c r="L131" s="80"/>
      <c r="M131" s="80"/>
      <c r="N131" s="80"/>
      <c r="O131" s="80"/>
      <c r="P131" s="80"/>
      <c r="Q131" s="80"/>
      <c r="R131" s="80"/>
    </row>
    <row r="132">
      <c r="K132" s="80"/>
      <c r="L132" s="80"/>
      <c r="M132" s="80"/>
      <c r="N132" s="80"/>
      <c r="O132" s="80"/>
      <c r="P132" s="80"/>
      <c r="Q132" s="80"/>
      <c r="R132" s="80"/>
    </row>
    <row r="133">
      <c r="K133" s="80"/>
      <c r="L133" s="80"/>
      <c r="M133" s="80"/>
      <c r="N133" s="80"/>
      <c r="O133" s="80"/>
      <c r="P133" s="80"/>
      <c r="Q133" s="80"/>
      <c r="R133" s="80"/>
    </row>
    <row r="134">
      <c r="K134" s="80"/>
      <c r="L134" s="80"/>
      <c r="M134" s="80"/>
      <c r="N134" s="80"/>
      <c r="O134" s="80"/>
      <c r="P134" s="80"/>
      <c r="Q134" s="80"/>
      <c r="R134" s="80"/>
    </row>
    <row r="135">
      <c r="K135" s="80"/>
      <c r="L135" s="80"/>
      <c r="M135" s="80"/>
      <c r="N135" s="80"/>
      <c r="O135" s="80"/>
      <c r="P135" s="80"/>
      <c r="Q135" s="80"/>
      <c r="R135" s="80"/>
    </row>
    <row r="136">
      <c r="K136" s="80"/>
      <c r="L136" s="80"/>
      <c r="M136" s="80"/>
      <c r="N136" s="80"/>
      <c r="O136" s="80"/>
      <c r="P136" s="80"/>
      <c r="Q136" s="80"/>
      <c r="R136" s="80"/>
    </row>
    <row r="137">
      <c r="K137" s="80"/>
      <c r="L137" s="80"/>
      <c r="M137" s="80"/>
      <c r="N137" s="80"/>
      <c r="O137" s="80"/>
      <c r="P137" s="80"/>
      <c r="Q137" s="80"/>
      <c r="R137" s="80"/>
    </row>
    <row r="138">
      <c r="K138" s="80"/>
      <c r="L138" s="80"/>
      <c r="M138" s="80"/>
      <c r="N138" s="80"/>
      <c r="O138" s="80"/>
      <c r="P138" s="80"/>
      <c r="Q138" s="80"/>
      <c r="R138" s="80"/>
    </row>
    <row r="139">
      <c r="K139" s="80"/>
      <c r="L139" s="80"/>
      <c r="M139" s="80"/>
      <c r="N139" s="80"/>
      <c r="O139" s="80"/>
      <c r="P139" s="80"/>
      <c r="Q139" s="80"/>
      <c r="R139" s="80"/>
    </row>
    <row r="140">
      <c r="K140" s="80"/>
      <c r="L140" s="80"/>
      <c r="M140" s="80"/>
      <c r="N140" s="80"/>
      <c r="O140" s="80"/>
      <c r="P140" s="80"/>
      <c r="Q140" s="80"/>
      <c r="R140" s="80"/>
    </row>
    <row r="141">
      <c r="K141" s="80"/>
      <c r="L141" s="80"/>
      <c r="M141" s="80"/>
      <c r="N141" s="80"/>
      <c r="O141" s="80"/>
      <c r="P141" s="80"/>
      <c r="Q141" s="80"/>
      <c r="R141" s="80"/>
    </row>
    <row r="142">
      <c r="K142" s="80"/>
      <c r="L142" s="80"/>
      <c r="M142" s="80"/>
      <c r="N142" s="80"/>
      <c r="O142" s="80"/>
      <c r="P142" s="80"/>
      <c r="Q142" s="80"/>
      <c r="R142" s="80"/>
    </row>
    <row r="143">
      <c r="K143" s="80"/>
      <c r="L143" s="80"/>
      <c r="M143" s="80"/>
      <c r="N143" s="80"/>
      <c r="O143" s="80"/>
      <c r="P143" s="80"/>
      <c r="Q143" s="80"/>
      <c r="R143" s="80"/>
    </row>
    <row r="144">
      <c r="K144" s="80"/>
      <c r="L144" s="80"/>
      <c r="M144" s="80"/>
      <c r="N144" s="80"/>
      <c r="O144" s="80"/>
      <c r="P144" s="80"/>
      <c r="Q144" s="80"/>
      <c r="R144" s="80"/>
    </row>
    <row r="145">
      <c r="K145" s="80"/>
      <c r="L145" s="80"/>
      <c r="M145" s="80"/>
      <c r="N145" s="80"/>
      <c r="O145" s="80"/>
      <c r="P145" s="80"/>
      <c r="Q145" s="80"/>
      <c r="R145" s="80"/>
    </row>
    <row r="146">
      <c r="K146" s="80"/>
      <c r="L146" s="80"/>
      <c r="M146" s="80"/>
      <c r="N146" s="80"/>
      <c r="O146" s="80"/>
      <c r="P146" s="80"/>
      <c r="Q146" s="80"/>
      <c r="R146" s="80"/>
    </row>
    <row r="147">
      <c r="K147" s="80"/>
      <c r="L147" s="80"/>
      <c r="M147" s="80"/>
      <c r="N147" s="80"/>
      <c r="O147" s="80"/>
      <c r="P147" s="80"/>
      <c r="Q147" s="80"/>
      <c r="R147" s="80"/>
    </row>
    <row r="148">
      <c r="K148" s="80"/>
      <c r="L148" s="80"/>
      <c r="M148" s="80"/>
      <c r="N148" s="80"/>
      <c r="O148" s="80"/>
      <c r="P148" s="80"/>
      <c r="Q148" s="80"/>
      <c r="R148" s="80"/>
    </row>
    <row r="149">
      <c r="K149" s="80"/>
      <c r="L149" s="80"/>
      <c r="M149" s="80"/>
      <c r="N149" s="80"/>
      <c r="O149" s="80"/>
      <c r="P149" s="80"/>
      <c r="Q149" s="80"/>
      <c r="R149" s="80"/>
    </row>
    <row r="150">
      <c r="K150" s="80"/>
      <c r="L150" s="80"/>
      <c r="M150" s="80"/>
      <c r="N150" s="80"/>
      <c r="O150" s="80"/>
      <c r="P150" s="80"/>
      <c r="Q150" s="80"/>
      <c r="R150" s="80"/>
    </row>
    <row r="151">
      <c r="K151" s="80"/>
      <c r="L151" s="80"/>
      <c r="M151" s="80"/>
      <c r="N151" s="80"/>
      <c r="O151" s="80"/>
      <c r="P151" s="80"/>
      <c r="Q151" s="80"/>
      <c r="R151" s="80"/>
    </row>
    <row r="152">
      <c r="K152" s="80"/>
      <c r="L152" s="80"/>
      <c r="M152" s="80"/>
      <c r="N152" s="80"/>
      <c r="O152" s="80"/>
      <c r="P152" s="80"/>
      <c r="Q152" s="80"/>
      <c r="R152" s="80"/>
    </row>
    <row r="153">
      <c r="K153" s="80"/>
      <c r="L153" s="80"/>
      <c r="M153" s="80"/>
      <c r="N153" s="80"/>
      <c r="O153" s="80"/>
      <c r="P153" s="80"/>
      <c r="Q153" s="80"/>
      <c r="R153" s="80"/>
    </row>
    <row r="154">
      <c r="K154" s="80"/>
      <c r="L154" s="80"/>
      <c r="M154" s="80"/>
      <c r="N154" s="80"/>
      <c r="O154" s="80"/>
      <c r="P154" s="80"/>
      <c r="Q154" s="80"/>
      <c r="R154" s="80"/>
    </row>
    <row r="155">
      <c r="K155" s="80"/>
      <c r="L155" s="80"/>
      <c r="M155" s="80"/>
      <c r="N155" s="80"/>
      <c r="O155" s="80"/>
      <c r="P155" s="80"/>
      <c r="Q155" s="80"/>
      <c r="R155" s="80"/>
    </row>
    <row r="156">
      <c r="K156" s="80"/>
      <c r="L156" s="80"/>
      <c r="M156" s="80"/>
      <c r="N156" s="80"/>
      <c r="O156" s="80"/>
      <c r="P156" s="80"/>
      <c r="Q156" s="80"/>
      <c r="R156" s="80"/>
    </row>
    <row r="157">
      <c r="K157" s="80"/>
      <c r="L157" s="80"/>
      <c r="M157" s="80"/>
      <c r="N157" s="80"/>
      <c r="O157" s="80"/>
      <c r="P157" s="80"/>
      <c r="Q157" s="80"/>
      <c r="R157" s="80"/>
    </row>
    <row r="158">
      <c r="K158" s="80"/>
      <c r="L158" s="80"/>
      <c r="M158" s="80"/>
      <c r="N158" s="80"/>
      <c r="O158" s="80"/>
      <c r="P158" s="80"/>
      <c r="Q158" s="80"/>
      <c r="R158" s="80"/>
    </row>
    <row r="159">
      <c r="K159" s="80"/>
      <c r="L159" s="80"/>
      <c r="M159" s="80"/>
      <c r="N159" s="80"/>
      <c r="O159" s="80"/>
      <c r="P159" s="80"/>
      <c r="Q159" s="80"/>
      <c r="R159" s="80"/>
    </row>
    <row r="160">
      <c r="K160" s="80"/>
      <c r="L160" s="80"/>
      <c r="M160" s="80"/>
      <c r="N160" s="80"/>
      <c r="O160" s="80"/>
      <c r="P160" s="80"/>
      <c r="Q160" s="80"/>
      <c r="R160" s="80"/>
    </row>
    <row r="161">
      <c r="K161" s="80"/>
      <c r="L161" s="80"/>
      <c r="M161" s="80"/>
      <c r="N161" s="80"/>
      <c r="O161" s="80"/>
      <c r="P161" s="80"/>
      <c r="Q161" s="80"/>
      <c r="R161" s="80"/>
    </row>
    <row r="162">
      <c r="K162" s="80"/>
      <c r="L162" s="80"/>
      <c r="M162" s="80"/>
      <c r="N162" s="80"/>
      <c r="O162" s="80"/>
      <c r="P162" s="80"/>
      <c r="Q162" s="80"/>
      <c r="R162" s="80"/>
    </row>
    <row r="163">
      <c r="K163" s="80"/>
      <c r="L163" s="80"/>
      <c r="M163" s="80"/>
      <c r="N163" s="80"/>
      <c r="O163" s="80"/>
      <c r="P163" s="80"/>
      <c r="Q163" s="80"/>
      <c r="R163" s="80"/>
    </row>
    <row r="164">
      <c r="K164" s="80"/>
      <c r="L164" s="80"/>
      <c r="M164" s="80"/>
      <c r="N164" s="80"/>
      <c r="O164" s="80"/>
      <c r="P164" s="80"/>
      <c r="Q164" s="80"/>
      <c r="R164" s="80"/>
    </row>
    <row r="165">
      <c r="K165" s="80"/>
      <c r="L165" s="80"/>
      <c r="M165" s="80"/>
      <c r="N165" s="80"/>
      <c r="O165" s="80"/>
      <c r="P165" s="80"/>
      <c r="Q165" s="80"/>
      <c r="R165" s="80"/>
    </row>
    <row r="166">
      <c r="K166" s="80"/>
      <c r="L166" s="80"/>
      <c r="M166" s="80"/>
      <c r="N166" s="80"/>
      <c r="O166" s="80"/>
      <c r="P166" s="80"/>
      <c r="Q166" s="80"/>
      <c r="R166" s="80"/>
    </row>
    <row r="167">
      <c r="K167" s="80"/>
      <c r="L167" s="80"/>
      <c r="M167" s="80"/>
      <c r="N167" s="80"/>
      <c r="O167" s="80"/>
      <c r="P167" s="80"/>
      <c r="Q167" s="80"/>
      <c r="R167" s="80"/>
    </row>
    <row r="168">
      <c r="K168" s="80"/>
      <c r="L168" s="80"/>
      <c r="M168" s="80"/>
      <c r="N168" s="80"/>
      <c r="O168" s="80"/>
      <c r="P168" s="80"/>
      <c r="Q168" s="80"/>
      <c r="R168" s="80"/>
    </row>
    <row r="169">
      <c r="K169" s="80"/>
      <c r="L169" s="80"/>
      <c r="M169" s="80"/>
      <c r="N169" s="80"/>
      <c r="O169" s="80"/>
      <c r="P169" s="80"/>
      <c r="Q169" s="80"/>
      <c r="R169" s="80"/>
    </row>
    <row r="170">
      <c r="K170" s="80"/>
      <c r="L170" s="80"/>
      <c r="M170" s="80"/>
      <c r="N170" s="80"/>
      <c r="O170" s="80"/>
      <c r="P170" s="80"/>
      <c r="Q170" s="80"/>
      <c r="R170" s="80"/>
    </row>
    <row r="171">
      <c r="K171" s="80"/>
      <c r="L171" s="80"/>
      <c r="M171" s="80"/>
      <c r="N171" s="80"/>
      <c r="O171" s="80"/>
      <c r="P171" s="80"/>
      <c r="Q171" s="80"/>
      <c r="R171" s="80"/>
    </row>
    <row r="172">
      <c r="K172" s="80"/>
      <c r="L172" s="80"/>
      <c r="M172" s="80"/>
      <c r="N172" s="80"/>
      <c r="O172" s="80"/>
      <c r="P172" s="80"/>
      <c r="Q172" s="80"/>
      <c r="R172" s="80"/>
    </row>
    <row r="173">
      <c r="K173" s="80"/>
      <c r="L173" s="80"/>
      <c r="M173" s="80"/>
      <c r="N173" s="80"/>
      <c r="O173" s="80"/>
      <c r="P173" s="80"/>
      <c r="Q173" s="80"/>
      <c r="R173" s="80"/>
    </row>
    <row r="174">
      <c r="K174" s="80"/>
      <c r="L174" s="80"/>
      <c r="M174" s="80"/>
      <c r="N174" s="80"/>
      <c r="O174" s="80"/>
      <c r="P174" s="80"/>
      <c r="Q174" s="80"/>
      <c r="R174" s="80"/>
    </row>
    <row r="175">
      <c r="K175" s="80"/>
      <c r="L175" s="80"/>
      <c r="M175" s="80"/>
      <c r="N175" s="80"/>
      <c r="O175" s="80"/>
      <c r="P175" s="80"/>
      <c r="Q175" s="80"/>
      <c r="R175" s="80"/>
    </row>
    <row r="176">
      <c r="K176" s="80"/>
      <c r="L176" s="80"/>
      <c r="M176" s="80"/>
      <c r="N176" s="80"/>
      <c r="O176" s="80"/>
      <c r="P176" s="80"/>
      <c r="Q176" s="80"/>
      <c r="R176" s="80"/>
    </row>
    <row r="177">
      <c r="K177" s="80"/>
      <c r="L177" s="80"/>
      <c r="M177" s="80"/>
      <c r="N177" s="80"/>
      <c r="O177" s="80"/>
      <c r="P177" s="80"/>
      <c r="Q177" s="80"/>
      <c r="R177" s="80"/>
    </row>
    <row r="178">
      <c r="K178" s="80"/>
      <c r="L178" s="80"/>
      <c r="M178" s="80"/>
      <c r="N178" s="80"/>
      <c r="O178" s="80"/>
      <c r="P178" s="80"/>
      <c r="Q178" s="80"/>
      <c r="R178" s="80"/>
    </row>
    <row r="179">
      <c r="K179" s="80"/>
      <c r="L179" s="80"/>
      <c r="M179" s="80"/>
      <c r="N179" s="80"/>
      <c r="O179" s="80"/>
      <c r="P179" s="80"/>
      <c r="Q179" s="80"/>
      <c r="R179" s="80"/>
    </row>
    <row r="180">
      <c r="K180" s="80"/>
      <c r="L180" s="80"/>
      <c r="M180" s="80"/>
      <c r="N180" s="80"/>
      <c r="O180" s="80"/>
      <c r="P180" s="80"/>
      <c r="Q180" s="80"/>
      <c r="R180" s="80"/>
    </row>
    <row r="181">
      <c r="K181" s="80"/>
      <c r="L181" s="80"/>
      <c r="M181" s="80"/>
      <c r="N181" s="80"/>
      <c r="O181" s="80"/>
      <c r="P181" s="80"/>
      <c r="Q181" s="80"/>
      <c r="R181" s="80"/>
    </row>
    <row r="182">
      <c r="K182" s="80"/>
      <c r="L182" s="80"/>
      <c r="M182" s="80"/>
      <c r="N182" s="80"/>
      <c r="O182" s="80"/>
      <c r="P182" s="80"/>
      <c r="Q182" s="80"/>
      <c r="R182" s="80"/>
    </row>
    <row r="183">
      <c r="K183" s="80"/>
      <c r="L183" s="80"/>
      <c r="M183" s="80"/>
      <c r="N183" s="80"/>
      <c r="O183" s="80"/>
      <c r="P183" s="80"/>
      <c r="Q183" s="80"/>
      <c r="R183" s="80"/>
    </row>
    <row r="184">
      <c r="K184" s="80"/>
      <c r="L184" s="80"/>
      <c r="M184" s="80"/>
      <c r="N184" s="80"/>
      <c r="O184" s="80"/>
      <c r="P184" s="80"/>
      <c r="Q184" s="80"/>
      <c r="R184" s="80"/>
    </row>
    <row r="185">
      <c r="K185" s="80"/>
      <c r="L185" s="80"/>
      <c r="M185" s="80"/>
      <c r="N185" s="80"/>
      <c r="O185" s="80"/>
      <c r="P185" s="80"/>
      <c r="Q185" s="80"/>
      <c r="R185" s="80"/>
    </row>
    <row r="186">
      <c r="K186" s="80"/>
      <c r="L186" s="80"/>
      <c r="M186" s="80"/>
      <c r="N186" s="80"/>
      <c r="O186" s="80"/>
      <c r="P186" s="80"/>
      <c r="Q186" s="80"/>
      <c r="R186" s="80"/>
    </row>
    <row r="187">
      <c r="K187" s="80"/>
      <c r="L187" s="80"/>
      <c r="M187" s="80"/>
      <c r="N187" s="80"/>
      <c r="O187" s="80"/>
      <c r="P187" s="80"/>
      <c r="Q187" s="80"/>
      <c r="R187" s="80"/>
    </row>
    <row r="188">
      <c r="K188" s="80"/>
      <c r="L188" s="80"/>
      <c r="M188" s="80"/>
      <c r="N188" s="80"/>
      <c r="O188" s="80"/>
      <c r="P188" s="80"/>
      <c r="Q188" s="80"/>
      <c r="R188" s="80"/>
    </row>
    <row r="189">
      <c r="K189" s="80"/>
      <c r="L189" s="80"/>
      <c r="M189" s="80"/>
      <c r="N189" s="80"/>
      <c r="O189" s="80"/>
      <c r="P189" s="80"/>
      <c r="Q189" s="80"/>
      <c r="R189" s="80"/>
    </row>
    <row r="190">
      <c r="K190" s="80"/>
      <c r="L190" s="80"/>
      <c r="M190" s="80"/>
      <c r="N190" s="80"/>
      <c r="O190" s="80"/>
      <c r="P190" s="80"/>
      <c r="Q190" s="80"/>
      <c r="R190" s="80"/>
    </row>
    <row r="191">
      <c r="K191" s="80"/>
      <c r="L191" s="80"/>
      <c r="M191" s="80"/>
      <c r="N191" s="80"/>
      <c r="O191" s="80"/>
      <c r="P191" s="80"/>
      <c r="Q191" s="80"/>
      <c r="R191" s="80"/>
    </row>
    <row r="192">
      <c r="K192" s="80"/>
      <c r="L192" s="80"/>
      <c r="M192" s="80"/>
      <c r="N192" s="80"/>
      <c r="O192" s="80"/>
      <c r="P192" s="80"/>
      <c r="Q192" s="80"/>
      <c r="R192" s="80"/>
    </row>
    <row r="193">
      <c r="K193" s="80"/>
      <c r="L193" s="80"/>
      <c r="M193" s="80"/>
      <c r="N193" s="80"/>
      <c r="O193" s="80"/>
      <c r="P193" s="80"/>
      <c r="Q193" s="80"/>
      <c r="R193" s="80"/>
    </row>
    <row r="194">
      <c r="K194" s="80"/>
      <c r="L194" s="80"/>
      <c r="M194" s="80"/>
      <c r="N194" s="80"/>
      <c r="O194" s="80"/>
      <c r="P194" s="80"/>
      <c r="Q194" s="80"/>
      <c r="R194" s="80"/>
    </row>
    <row r="195">
      <c r="K195" s="80"/>
      <c r="L195" s="80"/>
      <c r="M195" s="80"/>
      <c r="N195" s="80"/>
      <c r="O195" s="80"/>
      <c r="P195" s="80"/>
      <c r="Q195" s="80"/>
      <c r="R195" s="80"/>
    </row>
    <row r="196">
      <c r="K196" s="80"/>
      <c r="L196" s="80"/>
      <c r="M196" s="80"/>
      <c r="N196" s="80"/>
      <c r="O196" s="80"/>
      <c r="P196" s="80"/>
      <c r="Q196" s="80"/>
      <c r="R196" s="80"/>
    </row>
    <row r="197">
      <c r="K197" s="80"/>
      <c r="L197" s="80"/>
      <c r="M197" s="80"/>
      <c r="N197" s="80"/>
      <c r="O197" s="80"/>
      <c r="P197" s="80"/>
      <c r="Q197" s="80"/>
      <c r="R197" s="80"/>
    </row>
    <row r="198">
      <c r="K198" s="80"/>
      <c r="L198" s="80"/>
      <c r="M198" s="80"/>
      <c r="N198" s="80"/>
      <c r="O198" s="80"/>
      <c r="P198" s="80"/>
      <c r="Q198" s="80"/>
      <c r="R198" s="80"/>
    </row>
    <row r="199">
      <c r="K199" s="80"/>
      <c r="L199" s="80"/>
      <c r="M199" s="80"/>
      <c r="N199" s="80"/>
      <c r="O199" s="80"/>
      <c r="P199" s="80"/>
      <c r="Q199" s="80"/>
      <c r="R199" s="80"/>
    </row>
    <row r="200">
      <c r="K200" s="80"/>
      <c r="L200" s="80"/>
      <c r="M200" s="80"/>
      <c r="N200" s="80"/>
      <c r="O200" s="80"/>
      <c r="P200" s="80"/>
      <c r="Q200" s="80"/>
      <c r="R200" s="80"/>
    </row>
    <row r="201">
      <c r="K201" s="80"/>
      <c r="L201" s="80"/>
      <c r="M201" s="80"/>
      <c r="N201" s="80"/>
      <c r="O201" s="80"/>
      <c r="P201" s="80"/>
      <c r="Q201" s="80"/>
      <c r="R201" s="80"/>
    </row>
    <row r="202">
      <c r="K202" s="80"/>
      <c r="L202" s="80"/>
      <c r="M202" s="80"/>
      <c r="N202" s="80"/>
      <c r="O202" s="80"/>
      <c r="P202" s="80"/>
      <c r="Q202" s="80"/>
      <c r="R202" s="80"/>
    </row>
    <row r="203">
      <c r="K203" s="80"/>
      <c r="L203" s="80"/>
      <c r="M203" s="80"/>
      <c r="N203" s="80"/>
      <c r="O203" s="80"/>
      <c r="P203" s="80"/>
      <c r="Q203" s="80"/>
      <c r="R203" s="80"/>
    </row>
    <row r="204">
      <c r="K204" s="80"/>
      <c r="L204" s="80"/>
      <c r="M204" s="80"/>
      <c r="N204" s="80"/>
      <c r="O204" s="80"/>
      <c r="P204" s="80"/>
      <c r="Q204" s="80"/>
      <c r="R204" s="80"/>
    </row>
    <row r="205">
      <c r="K205" s="80"/>
      <c r="L205" s="80"/>
      <c r="M205" s="80"/>
      <c r="N205" s="80"/>
      <c r="O205" s="80"/>
      <c r="P205" s="80"/>
      <c r="Q205" s="80"/>
      <c r="R205" s="80"/>
    </row>
    <row r="206">
      <c r="K206" s="80"/>
      <c r="L206" s="80"/>
      <c r="M206" s="80"/>
      <c r="N206" s="80"/>
      <c r="O206" s="80"/>
      <c r="P206" s="80"/>
      <c r="Q206" s="80"/>
      <c r="R206" s="80"/>
    </row>
    <row r="207">
      <c r="K207" s="80"/>
      <c r="L207" s="80"/>
      <c r="M207" s="80"/>
      <c r="N207" s="80"/>
      <c r="O207" s="80"/>
      <c r="P207" s="80"/>
      <c r="Q207" s="80"/>
      <c r="R207" s="80"/>
    </row>
    <row r="208">
      <c r="K208" s="80"/>
      <c r="L208" s="80"/>
      <c r="M208" s="80"/>
      <c r="N208" s="80"/>
      <c r="O208" s="80"/>
      <c r="P208" s="80"/>
      <c r="Q208" s="80"/>
      <c r="R208" s="80"/>
    </row>
    <row r="209">
      <c r="K209" s="80"/>
      <c r="L209" s="80"/>
      <c r="M209" s="80"/>
      <c r="N209" s="80"/>
      <c r="O209" s="80"/>
      <c r="P209" s="80"/>
      <c r="Q209" s="80"/>
      <c r="R209" s="80"/>
    </row>
    <row r="210">
      <c r="K210" s="80"/>
      <c r="L210" s="80"/>
      <c r="M210" s="80"/>
      <c r="N210" s="80"/>
      <c r="O210" s="80"/>
      <c r="P210" s="80"/>
      <c r="Q210" s="80"/>
      <c r="R210" s="80"/>
    </row>
    <row r="211">
      <c r="K211" s="80"/>
      <c r="L211" s="80"/>
      <c r="M211" s="80"/>
      <c r="N211" s="80"/>
      <c r="O211" s="80"/>
      <c r="P211" s="80"/>
      <c r="Q211" s="80"/>
      <c r="R211" s="80"/>
    </row>
    <row r="212">
      <c r="K212" s="80"/>
      <c r="L212" s="80"/>
      <c r="M212" s="80"/>
      <c r="N212" s="80"/>
      <c r="O212" s="80"/>
      <c r="P212" s="80"/>
      <c r="Q212" s="80"/>
      <c r="R212" s="80"/>
    </row>
    <row r="213">
      <c r="K213" s="80"/>
      <c r="L213" s="80"/>
      <c r="M213" s="80"/>
      <c r="N213" s="80"/>
      <c r="O213" s="80"/>
      <c r="P213" s="80"/>
      <c r="Q213" s="80"/>
      <c r="R213" s="80"/>
    </row>
    <row r="214">
      <c r="K214" s="80"/>
      <c r="L214" s="80"/>
      <c r="M214" s="80"/>
      <c r="N214" s="80"/>
      <c r="O214" s="80"/>
      <c r="P214" s="80"/>
      <c r="Q214" s="80"/>
      <c r="R214" s="80"/>
    </row>
    <row r="215">
      <c r="K215" s="80"/>
      <c r="L215" s="80"/>
      <c r="M215" s="80"/>
      <c r="N215" s="80"/>
      <c r="O215" s="80"/>
      <c r="P215" s="80"/>
      <c r="Q215" s="80"/>
      <c r="R215" s="80"/>
    </row>
    <row r="216">
      <c r="K216" s="80"/>
      <c r="L216" s="80"/>
      <c r="M216" s="80"/>
      <c r="N216" s="80"/>
      <c r="O216" s="80"/>
      <c r="P216" s="80"/>
      <c r="Q216" s="80"/>
      <c r="R216" s="80"/>
    </row>
    <row r="217">
      <c r="K217" s="80"/>
      <c r="L217" s="80"/>
      <c r="M217" s="80"/>
      <c r="N217" s="80"/>
      <c r="O217" s="80"/>
      <c r="P217" s="80"/>
      <c r="Q217" s="80"/>
      <c r="R217" s="80"/>
    </row>
    <row r="218">
      <c r="K218" s="80"/>
      <c r="L218" s="80"/>
      <c r="M218" s="80"/>
      <c r="N218" s="80"/>
      <c r="O218" s="80"/>
      <c r="P218" s="80"/>
      <c r="Q218" s="80"/>
      <c r="R218" s="80"/>
    </row>
    <row r="219">
      <c r="K219" s="80"/>
      <c r="L219" s="80"/>
      <c r="M219" s="80"/>
      <c r="N219" s="80"/>
      <c r="O219" s="80"/>
      <c r="P219" s="80"/>
      <c r="Q219" s="80"/>
      <c r="R219" s="80"/>
    </row>
    <row r="220">
      <c r="K220" s="80"/>
      <c r="L220" s="80"/>
      <c r="M220" s="80"/>
      <c r="N220" s="80"/>
      <c r="O220" s="80"/>
      <c r="P220" s="80"/>
      <c r="Q220" s="80"/>
      <c r="R220" s="80"/>
    </row>
    <row r="221">
      <c r="K221" s="80"/>
      <c r="L221" s="80"/>
      <c r="M221" s="80"/>
      <c r="N221" s="80"/>
      <c r="O221" s="80"/>
      <c r="P221" s="80"/>
      <c r="Q221" s="80"/>
      <c r="R221" s="80"/>
    </row>
    <row r="222">
      <c r="K222" s="80"/>
      <c r="L222" s="80"/>
      <c r="M222" s="80"/>
      <c r="N222" s="80"/>
      <c r="O222" s="80"/>
      <c r="P222" s="80"/>
      <c r="Q222" s="80"/>
      <c r="R222" s="80"/>
    </row>
    <row r="223">
      <c r="K223" s="80"/>
      <c r="L223" s="80"/>
      <c r="M223" s="80"/>
      <c r="N223" s="80"/>
      <c r="O223" s="80"/>
      <c r="P223" s="80"/>
      <c r="Q223" s="80"/>
      <c r="R223" s="80"/>
    </row>
    <row r="224">
      <c r="K224" s="80"/>
      <c r="L224" s="80"/>
      <c r="M224" s="80"/>
      <c r="N224" s="80"/>
      <c r="O224" s="80"/>
      <c r="P224" s="80"/>
      <c r="Q224" s="80"/>
      <c r="R224" s="80"/>
    </row>
    <row r="225">
      <c r="K225" s="80"/>
      <c r="L225" s="80"/>
      <c r="M225" s="80"/>
      <c r="N225" s="80"/>
      <c r="O225" s="80"/>
      <c r="P225" s="80"/>
      <c r="Q225" s="80"/>
      <c r="R225" s="80"/>
    </row>
    <row r="226">
      <c r="K226" s="80"/>
      <c r="L226" s="80"/>
      <c r="M226" s="80"/>
      <c r="N226" s="80"/>
      <c r="O226" s="80"/>
      <c r="P226" s="80"/>
      <c r="Q226" s="80"/>
      <c r="R226" s="80"/>
    </row>
    <row r="227">
      <c r="K227" s="80"/>
      <c r="L227" s="80"/>
      <c r="M227" s="80"/>
      <c r="N227" s="80"/>
      <c r="O227" s="80"/>
      <c r="P227" s="80"/>
      <c r="Q227" s="80"/>
      <c r="R227" s="80"/>
    </row>
    <row r="228">
      <c r="K228" s="80"/>
      <c r="L228" s="80"/>
      <c r="M228" s="80"/>
      <c r="N228" s="80"/>
      <c r="O228" s="80"/>
      <c r="P228" s="80"/>
      <c r="Q228" s="80"/>
      <c r="R228" s="80"/>
    </row>
    <row r="229">
      <c r="K229" s="80"/>
      <c r="L229" s="80"/>
      <c r="M229" s="80"/>
      <c r="N229" s="80"/>
      <c r="O229" s="80"/>
      <c r="P229" s="80"/>
      <c r="Q229" s="80"/>
      <c r="R229" s="80"/>
    </row>
    <row r="230">
      <c r="K230" s="80"/>
      <c r="L230" s="80"/>
      <c r="M230" s="80"/>
      <c r="N230" s="80"/>
      <c r="O230" s="80"/>
      <c r="P230" s="80"/>
      <c r="Q230" s="80"/>
      <c r="R230" s="80"/>
    </row>
    <row r="231">
      <c r="K231" s="80"/>
      <c r="L231" s="80"/>
      <c r="M231" s="80"/>
      <c r="N231" s="80"/>
      <c r="O231" s="80"/>
      <c r="P231" s="80"/>
      <c r="Q231" s="80"/>
      <c r="R231" s="80"/>
    </row>
    <row r="232">
      <c r="K232" s="80"/>
      <c r="L232" s="80"/>
      <c r="M232" s="80"/>
      <c r="N232" s="80"/>
      <c r="O232" s="80"/>
      <c r="P232" s="80"/>
      <c r="Q232" s="80"/>
      <c r="R232" s="80"/>
    </row>
    <row r="233">
      <c r="K233" s="80"/>
      <c r="L233" s="80"/>
      <c r="M233" s="80"/>
      <c r="N233" s="80"/>
      <c r="O233" s="80"/>
      <c r="P233" s="80"/>
      <c r="Q233" s="80"/>
      <c r="R233" s="80"/>
    </row>
    <row r="234">
      <c r="K234" s="80"/>
      <c r="L234" s="80"/>
      <c r="M234" s="80"/>
      <c r="N234" s="80"/>
      <c r="O234" s="80"/>
      <c r="P234" s="80"/>
      <c r="Q234" s="80"/>
      <c r="R234" s="80"/>
    </row>
    <row r="235">
      <c r="K235" s="80"/>
      <c r="L235" s="80"/>
      <c r="M235" s="80"/>
      <c r="N235" s="80"/>
      <c r="O235" s="80"/>
      <c r="P235" s="80"/>
      <c r="Q235" s="80"/>
      <c r="R235" s="80"/>
    </row>
    <row r="236">
      <c r="K236" s="80"/>
      <c r="L236" s="80"/>
      <c r="M236" s="80"/>
      <c r="N236" s="80"/>
      <c r="O236" s="80"/>
      <c r="P236" s="80"/>
      <c r="Q236" s="80"/>
      <c r="R236" s="80"/>
    </row>
    <row r="237">
      <c r="K237" s="80"/>
      <c r="L237" s="80"/>
      <c r="M237" s="80"/>
      <c r="N237" s="80"/>
      <c r="O237" s="80"/>
      <c r="P237" s="80"/>
      <c r="Q237" s="80"/>
      <c r="R237" s="80"/>
    </row>
    <row r="238">
      <c r="K238" s="80"/>
      <c r="L238" s="80"/>
      <c r="M238" s="80"/>
      <c r="N238" s="80"/>
      <c r="O238" s="80"/>
      <c r="P238" s="80"/>
      <c r="Q238" s="80"/>
      <c r="R238" s="80"/>
    </row>
    <row r="239">
      <c r="K239" s="80"/>
      <c r="L239" s="80"/>
      <c r="M239" s="80"/>
      <c r="N239" s="80"/>
      <c r="O239" s="80"/>
      <c r="P239" s="80"/>
      <c r="Q239" s="80"/>
      <c r="R239" s="80"/>
    </row>
    <row r="240">
      <c r="K240" s="80"/>
      <c r="L240" s="80"/>
      <c r="M240" s="80"/>
      <c r="N240" s="80"/>
      <c r="O240" s="80"/>
      <c r="P240" s="80"/>
      <c r="Q240" s="80"/>
      <c r="R240" s="80"/>
    </row>
    <row r="241">
      <c r="K241" s="80"/>
      <c r="L241" s="80"/>
      <c r="M241" s="80"/>
      <c r="N241" s="80"/>
      <c r="O241" s="80"/>
      <c r="P241" s="80"/>
      <c r="Q241" s="80"/>
      <c r="R241" s="80"/>
    </row>
    <row r="242">
      <c r="K242" s="80"/>
      <c r="L242" s="80"/>
      <c r="M242" s="80"/>
      <c r="N242" s="80"/>
      <c r="O242" s="80"/>
      <c r="P242" s="80"/>
      <c r="Q242" s="80"/>
      <c r="R242" s="80"/>
    </row>
    <row r="243">
      <c r="K243" s="80"/>
      <c r="L243" s="80"/>
      <c r="M243" s="80"/>
      <c r="N243" s="80"/>
      <c r="O243" s="80"/>
      <c r="P243" s="80"/>
      <c r="Q243" s="80"/>
      <c r="R243" s="80"/>
    </row>
    <row r="244">
      <c r="K244" s="80"/>
      <c r="L244" s="80"/>
      <c r="M244" s="80"/>
      <c r="N244" s="80"/>
      <c r="O244" s="80"/>
      <c r="P244" s="80"/>
      <c r="Q244" s="80"/>
      <c r="R244" s="80"/>
    </row>
    <row r="245">
      <c r="K245" s="80"/>
      <c r="L245" s="80"/>
      <c r="M245" s="80"/>
      <c r="N245" s="80"/>
      <c r="O245" s="80"/>
      <c r="P245" s="80"/>
      <c r="Q245" s="80"/>
      <c r="R245" s="80"/>
    </row>
    <row r="246">
      <c r="K246" s="80"/>
      <c r="L246" s="80"/>
      <c r="M246" s="80"/>
      <c r="N246" s="80"/>
      <c r="O246" s="80"/>
      <c r="P246" s="80"/>
      <c r="Q246" s="80"/>
      <c r="R246" s="80"/>
    </row>
    <row r="247">
      <c r="K247" s="80"/>
      <c r="L247" s="80"/>
      <c r="M247" s="80"/>
      <c r="N247" s="80"/>
      <c r="O247" s="80"/>
      <c r="P247" s="80"/>
      <c r="Q247" s="80"/>
      <c r="R247" s="80"/>
    </row>
    <row r="248">
      <c r="K248" s="80"/>
      <c r="L248" s="80"/>
      <c r="M248" s="80"/>
      <c r="N248" s="80"/>
      <c r="O248" s="80"/>
      <c r="P248" s="80"/>
      <c r="Q248" s="80"/>
      <c r="R248" s="80"/>
    </row>
    <row r="249">
      <c r="K249" s="80"/>
      <c r="L249" s="80"/>
      <c r="M249" s="80"/>
      <c r="N249" s="80"/>
      <c r="O249" s="80"/>
      <c r="P249" s="80"/>
      <c r="Q249" s="80"/>
      <c r="R249" s="80"/>
    </row>
    <row r="250">
      <c r="K250" s="80"/>
      <c r="L250" s="80"/>
      <c r="M250" s="80"/>
      <c r="N250" s="80"/>
      <c r="O250" s="80"/>
      <c r="P250" s="80"/>
      <c r="Q250" s="80"/>
      <c r="R250" s="80"/>
    </row>
    <row r="251">
      <c r="K251" s="80"/>
      <c r="L251" s="80"/>
      <c r="M251" s="80"/>
      <c r="N251" s="80"/>
      <c r="O251" s="80"/>
      <c r="P251" s="80"/>
      <c r="Q251" s="80"/>
      <c r="R251" s="80"/>
    </row>
    <row r="252">
      <c r="K252" s="80"/>
      <c r="L252" s="80"/>
      <c r="M252" s="80"/>
      <c r="N252" s="80"/>
      <c r="O252" s="80"/>
      <c r="P252" s="80"/>
      <c r="Q252" s="80"/>
      <c r="R252" s="80"/>
    </row>
    <row r="253">
      <c r="K253" s="80"/>
      <c r="L253" s="80"/>
      <c r="M253" s="80"/>
      <c r="N253" s="80"/>
      <c r="O253" s="80"/>
      <c r="P253" s="80"/>
      <c r="Q253" s="80"/>
      <c r="R253" s="80"/>
    </row>
    <row r="254">
      <c r="K254" s="80"/>
      <c r="L254" s="80"/>
      <c r="M254" s="80"/>
      <c r="N254" s="80"/>
      <c r="O254" s="80"/>
      <c r="P254" s="80"/>
      <c r="Q254" s="80"/>
      <c r="R254" s="80"/>
    </row>
    <row r="255">
      <c r="K255" s="80"/>
      <c r="L255" s="80"/>
      <c r="M255" s="80"/>
      <c r="N255" s="80"/>
      <c r="O255" s="80"/>
      <c r="P255" s="80"/>
      <c r="Q255" s="80"/>
      <c r="R255" s="80"/>
    </row>
    <row r="256">
      <c r="K256" s="80"/>
      <c r="L256" s="80"/>
      <c r="M256" s="80"/>
      <c r="N256" s="80"/>
      <c r="O256" s="80"/>
      <c r="P256" s="80"/>
      <c r="Q256" s="80"/>
      <c r="R256" s="80"/>
    </row>
    <row r="257">
      <c r="K257" s="80"/>
      <c r="L257" s="80"/>
      <c r="M257" s="80"/>
      <c r="N257" s="80"/>
      <c r="O257" s="80"/>
      <c r="P257" s="80"/>
      <c r="Q257" s="80"/>
      <c r="R257" s="80"/>
    </row>
    <row r="258">
      <c r="K258" s="80"/>
      <c r="L258" s="80"/>
      <c r="M258" s="80"/>
      <c r="N258" s="80"/>
      <c r="O258" s="80"/>
      <c r="P258" s="80"/>
      <c r="Q258" s="80"/>
      <c r="R258" s="80"/>
    </row>
    <row r="259">
      <c r="K259" s="80"/>
      <c r="L259" s="80"/>
      <c r="M259" s="80"/>
      <c r="N259" s="80"/>
      <c r="O259" s="80"/>
      <c r="P259" s="80"/>
      <c r="Q259" s="80"/>
      <c r="R259" s="80"/>
    </row>
    <row r="260">
      <c r="K260" s="80"/>
      <c r="L260" s="80"/>
      <c r="M260" s="80"/>
      <c r="N260" s="80"/>
      <c r="O260" s="80"/>
      <c r="P260" s="80"/>
      <c r="Q260" s="80"/>
      <c r="R260" s="80"/>
    </row>
    <row r="261">
      <c r="K261" s="80"/>
      <c r="L261" s="80"/>
      <c r="M261" s="80"/>
      <c r="N261" s="80"/>
      <c r="O261" s="80"/>
      <c r="P261" s="80"/>
      <c r="Q261" s="80"/>
      <c r="R261" s="80"/>
    </row>
    <row r="262">
      <c r="K262" s="80"/>
      <c r="L262" s="80"/>
      <c r="M262" s="80"/>
      <c r="N262" s="80"/>
      <c r="O262" s="80"/>
      <c r="P262" s="80"/>
      <c r="Q262" s="80"/>
      <c r="R262" s="80"/>
    </row>
    <row r="263">
      <c r="K263" s="80"/>
      <c r="L263" s="80"/>
      <c r="M263" s="80"/>
      <c r="N263" s="80"/>
      <c r="O263" s="80"/>
      <c r="P263" s="80"/>
      <c r="Q263" s="80"/>
      <c r="R263" s="80"/>
    </row>
    <row r="264">
      <c r="K264" s="80"/>
      <c r="L264" s="80"/>
      <c r="M264" s="80"/>
      <c r="N264" s="80"/>
      <c r="O264" s="80"/>
      <c r="P264" s="80"/>
      <c r="Q264" s="80"/>
      <c r="R264" s="80"/>
    </row>
    <row r="265">
      <c r="K265" s="80"/>
      <c r="L265" s="80"/>
      <c r="M265" s="80"/>
      <c r="N265" s="80"/>
      <c r="O265" s="80"/>
      <c r="P265" s="80"/>
      <c r="Q265" s="80"/>
      <c r="R265" s="80"/>
    </row>
    <row r="266">
      <c r="K266" s="80"/>
      <c r="L266" s="80"/>
      <c r="M266" s="80"/>
      <c r="N266" s="80"/>
      <c r="O266" s="80"/>
      <c r="P266" s="80"/>
      <c r="Q266" s="80"/>
      <c r="R266" s="80"/>
    </row>
    <row r="267">
      <c r="K267" s="80"/>
      <c r="L267" s="80"/>
      <c r="M267" s="80"/>
      <c r="N267" s="80"/>
      <c r="O267" s="80"/>
      <c r="P267" s="80"/>
      <c r="Q267" s="80"/>
      <c r="R267" s="80"/>
    </row>
    <row r="268">
      <c r="K268" s="80"/>
      <c r="L268" s="80"/>
      <c r="M268" s="80"/>
      <c r="N268" s="80"/>
      <c r="O268" s="80"/>
      <c r="P268" s="80"/>
      <c r="Q268" s="80"/>
      <c r="R268" s="80"/>
    </row>
    <row r="269">
      <c r="K269" s="80"/>
      <c r="L269" s="80"/>
      <c r="M269" s="80"/>
      <c r="N269" s="80"/>
      <c r="O269" s="80"/>
      <c r="P269" s="80"/>
      <c r="Q269" s="80"/>
      <c r="R269" s="80"/>
    </row>
    <row r="270">
      <c r="K270" s="80"/>
      <c r="L270" s="80"/>
      <c r="M270" s="80"/>
      <c r="N270" s="80"/>
      <c r="O270" s="80"/>
      <c r="P270" s="80"/>
      <c r="Q270" s="80"/>
      <c r="R270" s="80"/>
    </row>
    <row r="271">
      <c r="K271" s="80"/>
      <c r="L271" s="80"/>
      <c r="M271" s="80"/>
      <c r="N271" s="80"/>
      <c r="O271" s="80"/>
      <c r="P271" s="80"/>
      <c r="Q271" s="80"/>
      <c r="R271" s="80"/>
    </row>
    <row r="272">
      <c r="K272" s="80"/>
      <c r="L272" s="80"/>
      <c r="M272" s="80"/>
      <c r="N272" s="80"/>
      <c r="O272" s="80"/>
      <c r="P272" s="80"/>
      <c r="Q272" s="80"/>
      <c r="R272" s="80"/>
    </row>
    <row r="273">
      <c r="K273" s="80"/>
      <c r="L273" s="80"/>
      <c r="M273" s="80"/>
      <c r="N273" s="80"/>
      <c r="O273" s="80"/>
      <c r="P273" s="80"/>
      <c r="Q273" s="80"/>
      <c r="R273" s="80"/>
    </row>
    <row r="274">
      <c r="K274" s="80"/>
      <c r="L274" s="80"/>
      <c r="M274" s="80"/>
      <c r="N274" s="80"/>
      <c r="O274" s="80"/>
      <c r="P274" s="80"/>
      <c r="Q274" s="80"/>
      <c r="R274" s="80"/>
    </row>
    <row r="275">
      <c r="K275" s="80"/>
      <c r="L275" s="80"/>
      <c r="M275" s="80"/>
      <c r="N275" s="80"/>
      <c r="O275" s="80"/>
      <c r="P275" s="80"/>
      <c r="Q275" s="80"/>
      <c r="R275" s="80"/>
    </row>
    <row r="276">
      <c r="K276" s="80"/>
      <c r="L276" s="80"/>
      <c r="M276" s="80"/>
      <c r="N276" s="80"/>
      <c r="O276" s="80"/>
      <c r="P276" s="80"/>
      <c r="Q276" s="80"/>
      <c r="R276" s="80"/>
    </row>
    <row r="277">
      <c r="K277" s="80"/>
      <c r="L277" s="80"/>
      <c r="M277" s="80"/>
      <c r="N277" s="80"/>
      <c r="O277" s="80"/>
      <c r="P277" s="80"/>
      <c r="Q277" s="80"/>
      <c r="R277" s="80"/>
    </row>
    <row r="278">
      <c r="K278" s="80"/>
      <c r="L278" s="80"/>
      <c r="M278" s="80"/>
      <c r="N278" s="80"/>
      <c r="O278" s="80"/>
      <c r="P278" s="80"/>
      <c r="Q278" s="80"/>
      <c r="R278" s="80"/>
    </row>
    <row r="279">
      <c r="K279" s="80"/>
      <c r="L279" s="80"/>
      <c r="M279" s="80"/>
      <c r="N279" s="80"/>
      <c r="O279" s="80"/>
      <c r="P279" s="80"/>
      <c r="Q279" s="80"/>
      <c r="R279" s="80"/>
    </row>
    <row r="280">
      <c r="K280" s="80"/>
      <c r="L280" s="80"/>
      <c r="M280" s="80"/>
      <c r="N280" s="80"/>
      <c r="O280" s="80"/>
      <c r="P280" s="80"/>
      <c r="Q280" s="80"/>
      <c r="R280" s="80"/>
    </row>
    <row r="281">
      <c r="K281" s="80"/>
      <c r="L281" s="80"/>
      <c r="M281" s="80"/>
      <c r="N281" s="80"/>
      <c r="O281" s="80"/>
      <c r="P281" s="80"/>
      <c r="Q281" s="80"/>
      <c r="R281" s="80"/>
    </row>
    <row r="282">
      <c r="K282" s="80"/>
      <c r="L282" s="80"/>
      <c r="M282" s="80"/>
      <c r="N282" s="80"/>
      <c r="O282" s="80"/>
      <c r="P282" s="80"/>
      <c r="Q282" s="80"/>
      <c r="R282" s="80"/>
    </row>
    <row r="283">
      <c r="K283" s="80"/>
      <c r="L283" s="80"/>
      <c r="M283" s="80"/>
      <c r="N283" s="80"/>
      <c r="O283" s="80"/>
      <c r="P283" s="80"/>
      <c r="Q283" s="80"/>
      <c r="R283" s="80"/>
    </row>
    <row r="284">
      <c r="K284" s="80"/>
      <c r="L284" s="80"/>
      <c r="M284" s="80"/>
      <c r="N284" s="80"/>
      <c r="O284" s="80"/>
      <c r="P284" s="80"/>
      <c r="Q284" s="80"/>
      <c r="R284" s="80"/>
    </row>
    <row r="285">
      <c r="K285" s="80"/>
      <c r="L285" s="80"/>
      <c r="M285" s="80"/>
      <c r="N285" s="80"/>
      <c r="O285" s="80"/>
      <c r="P285" s="80"/>
      <c r="Q285" s="80"/>
      <c r="R285" s="80"/>
    </row>
    <row r="286">
      <c r="K286" s="80"/>
      <c r="L286" s="80"/>
      <c r="M286" s="80"/>
      <c r="N286" s="80"/>
      <c r="O286" s="80"/>
      <c r="P286" s="80"/>
      <c r="Q286" s="80"/>
      <c r="R286" s="80"/>
    </row>
    <row r="287">
      <c r="K287" s="80"/>
      <c r="L287" s="80"/>
      <c r="M287" s="80"/>
      <c r="N287" s="80"/>
      <c r="O287" s="80"/>
      <c r="P287" s="80"/>
      <c r="Q287" s="80"/>
      <c r="R287" s="80"/>
    </row>
    <row r="288">
      <c r="K288" s="80"/>
      <c r="L288" s="80"/>
      <c r="M288" s="80"/>
      <c r="N288" s="80"/>
      <c r="O288" s="80"/>
      <c r="P288" s="80"/>
      <c r="Q288" s="80"/>
      <c r="R288" s="80"/>
    </row>
    <row r="289">
      <c r="K289" s="80"/>
      <c r="L289" s="80"/>
      <c r="M289" s="80"/>
      <c r="N289" s="80"/>
      <c r="O289" s="80"/>
      <c r="P289" s="80"/>
      <c r="Q289" s="80"/>
      <c r="R289" s="80"/>
    </row>
    <row r="290">
      <c r="K290" s="80"/>
      <c r="L290" s="80"/>
      <c r="M290" s="80"/>
      <c r="N290" s="80"/>
      <c r="O290" s="80"/>
      <c r="P290" s="80"/>
      <c r="Q290" s="80"/>
      <c r="R290" s="80"/>
    </row>
    <row r="291">
      <c r="K291" s="80"/>
      <c r="L291" s="80"/>
      <c r="M291" s="80"/>
      <c r="N291" s="80"/>
      <c r="O291" s="80"/>
      <c r="P291" s="80"/>
      <c r="Q291" s="80"/>
      <c r="R291" s="80"/>
    </row>
    <row r="292">
      <c r="K292" s="80"/>
      <c r="L292" s="80"/>
      <c r="M292" s="80"/>
      <c r="N292" s="80"/>
      <c r="O292" s="80"/>
      <c r="P292" s="80"/>
      <c r="Q292" s="80"/>
      <c r="R292" s="80"/>
    </row>
    <row r="293">
      <c r="K293" s="80"/>
      <c r="L293" s="80"/>
      <c r="M293" s="80"/>
      <c r="N293" s="80"/>
      <c r="O293" s="80"/>
      <c r="P293" s="80"/>
      <c r="Q293" s="80"/>
      <c r="R293" s="80"/>
    </row>
    <row r="294">
      <c r="K294" s="80"/>
      <c r="L294" s="80"/>
      <c r="M294" s="80"/>
      <c r="N294" s="80"/>
      <c r="O294" s="80"/>
      <c r="P294" s="80"/>
      <c r="Q294" s="80"/>
      <c r="R294" s="80"/>
    </row>
    <row r="295">
      <c r="K295" s="80"/>
      <c r="L295" s="80"/>
      <c r="M295" s="80"/>
      <c r="N295" s="80"/>
      <c r="O295" s="80"/>
      <c r="P295" s="80"/>
      <c r="Q295" s="80"/>
      <c r="R295" s="80"/>
    </row>
    <row r="296">
      <c r="K296" s="80"/>
      <c r="L296" s="80"/>
      <c r="M296" s="80"/>
      <c r="N296" s="80"/>
      <c r="O296" s="80"/>
      <c r="P296" s="80"/>
      <c r="Q296" s="80"/>
      <c r="R296" s="80"/>
    </row>
    <row r="297">
      <c r="K297" s="80"/>
      <c r="L297" s="80"/>
      <c r="M297" s="80"/>
      <c r="N297" s="80"/>
      <c r="O297" s="80"/>
      <c r="P297" s="80"/>
      <c r="Q297" s="80"/>
      <c r="R297" s="80"/>
    </row>
    <row r="298">
      <c r="K298" s="80"/>
      <c r="L298" s="80"/>
      <c r="M298" s="80"/>
      <c r="N298" s="80"/>
      <c r="O298" s="80"/>
      <c r="P298" s="80"/>
      <c r="Q298" s="80"/>
      <c r="R298" s="80"/>
    </row>
    <row r="299">
      <c r="K299" s="80"/>
      <c r="L299" s="80"/>
      <c r="M299" s="80"/>
      <c r="N299" s="80"/>
      <c r="O299" s="80"/>
      <c r="P299" s="80"/>
      <c r="Q299" s="80"/>
      <c r="R299" s="80"/>
    </row>
    <row r="300">
      <c r="K300" s="80"/>
      <c r="L300" s="80"/>
      <c r="M300" s="80"/>
      <c r="N300" s="80"/>
      <c r="O300" s="80"/>
      <c r="P300" s="80"/>
      <c r="Q300" s="80"/>
      <c r="R300" s="80"/>
    </row>
    <row r="301">
      <c r="K301" s="80"/>
      <c r="L301" s="80"/>
      <c r="M301" s="80"/>
      <c r="N301" s="80"/>
      <c r="O301" s="80"/>
      <c r="P301" s="80"/>
      <c r="Q301" s="80"/>
      <c r="R301" s="80"/>
    </row>
    <row r="302">
      <c r="K302" s="80"/>
      <c r="L302" s="80"/>
      <c r="M302" s="80"/>
      <c r="N302" s="80"/>
      <c r="O302" s="80"/>
      <c r="P302" s="80"/>
      <c r="Q302" s="80"/>
      <c r="R302" s="80"/>
    </row>
    <row r="303">
      <c r="K303" s="80"/>
      <c r="L303" s="80"/>
      <c r="M303" s="80"/>
      <c r="N303" s="80"/>
      <c r="O303" s="80"/>
      <c r="P303" s="80"/>
      <c r="Q303" s="80"/>
      <c r="R303" s="80"/>
    </row>
    <row r="304">
      <c r="K304" s="80"/>
      <c r="L304" s="80"/>
      <c r="M304" s="80"/>
      <c r="N304" s="80"/>
      <c r="O304" s="80"/>
      <c r="P304" s="80"/>
      <c r="Q304" s="80"/>
      <c r="R304" s="80"/>
    </row>
    <row r="305">
      <c r="K305" s="80"/>
      <c r="L305" s="80"/>
      <c r="M305" s="80"/>
      <c r="N305" s="80"/>
      <c r="O305" s="80"/>
      <c r="P305" s="80"/>
      <c r="Q305" s="80"/>
      <c r="R305" s="80"/>
    </row>
    <row r="306">
      <c r="K306" s="80"/>
      <c r="L306" s="80"/>
      <c r="M306" s="80"/>
      <c r="N306" s="80"/>
      <c r="O306" s="80"/>
      <c r="P306" s="80"/>
      <c r="Q306" s="80"/>
      <c r="R306" s="80"/>
    </row>
    <row r="307">
      <c r="K307" s="80"/>
      <c r="L307" s="80"/>
      <c r="M307" s="80"/>
      <c r="N307" s="80"/>
      <c r="O307" s="80"/>
      <c r="P307" s="80"/>
      <c r="Q307" s="80"/>
      <c r="R307" s="80"/>
    </row>
    <row r="308">
      <c r="K308" s="80"/>
      <c r="L308" s="80"/>
      <c r="M308" s="80"/>
      <c r="N308" s="80"/>
      <c r="O308" s="80"/>
      <c r="P308" s="80"/>
      <c r="Q308" s="80"/>
      <c r="R308" s="80"/>
    </row>
    <row r="309">
      <c r="K309" s="80"/>
      <c r="L309" s="80"/>
      <c r="M309" s="80"/>
      <c r="N309" s="80"/>
      <c r="O309" s="80"/>
      <c r="P309" s="80"/>
      <c r="Q309" s="80"/>
      <c r="R309" s="80"/>
    </row>
    <row r="310">
      <c r="K310" s="80"/>
      <c r="L310" s="80"/>
      <c r="M310" s="80"/>
      <c r="N310" s="80"/>
      <c r="O310" s="80"/>
      <c r="P310" s="80"/>
      <c r="Q310" s="80"/>
      <c r="R310" s="80"/>
    </row>
    <row r="311">
      <c r="K311" s="80"/>
      <c r="L311" s="80"/>
      <c r="M311" s="80"/>
      <c r="N311" s="80"/>
      <c r="O311" s="80"/>
      <c r="P311" s="80"/>
      <c r="Q311" s="80"/>
      <c r="R311" s="80"/>
    </row>
    <row r="312">
      <c r="K312" s="80"/>
      <c r="L312" s="80"/>
      <c r="M312" s="80"/>
      <c r="N312" s="80"/>
      <c r="O312" s="80"/>
      <c r="P312" s="80"/>
      <c r="Q312" s="80"/>
      <c r="R312" s="80"/>
    </row>
    <row r="313">
      <c r="K313" s="80"/>
      <c r="L313" s="80"/>
      <c r="M313" s="80"/>
      <c r="N313" s="80"/>
      <c r="O313" s="80"/>
      <c r="P313" s="80"/>
      <c r="Q313" s="80"/>
      <c r="R313" s="80"/>
    </row>
    <row r="314">
      <c r="K314" s="80"/>
      <c r="L314" s="80"/>
      <c r="M314" s="80"/>
      <c r="N314" s="80"/>
      <c r="O314" s="80"/>
      <c r="P314" s="80"/>
      <c r="Q314" s="80"/>
      <c r="R314" s="80"/>
    </row>
    <row r="315">
      <c r="K315" s="80"/>
      <c r="L315" s="80"/>
      <c r="M315" s="80"/>
      <c r="N315" s="80"/>
      <c r="O315" s="80"/>
      <c r="P315" s="80"/>
      <c r="Q315" s="80"/>
      <c r="R315" s="80"/>
    </row>
    <row r="316">
      <c r="K316" s="80"/>
      <c r="L316" s="80"/>
      <c r="M316" s="80"/>
      <c r="N316" s="80"/>
      <c r="O316" s="80"/>
      <c r="P316" s="80"/>
      <c r="Q316" s="80"/>
      <c r="R316" s="80"/>
    </row>
    <row r="317">
      <c r="K317" s="80"/>
      <c r="L317" s="80"/>
      <c r="M317" s="80"/>
      <c r="N317" s="80"/>
      <c r="O317" s="80"/>
      <c r="P317" s="80"/>
      <c r="Q317" s="80"/>
      <c r="R317" s="80"/>
    </row>
    <row r="318">
      <c r="K318" s="80"/>
      <c r="L318" s="80"/>
      <c r="M318" s="80"/>
      <c r="N318" s="80"/>
      <c r="O318" s="80"/>
      <c r="P318" s="80"/>
      <c r="Q318" s="80"/>
      <c r="R318" s="80"/>
    </row>
    <row r="319">
      <c r="K319" s="80"/>
      <c r="L319" s="80"/>
      <c r="M319" s="80"/>
      <c r="N319" s="80"/>
      <c r="O319" s="80"/>
      <c r="P319" s="80"/>
      <c r="Q319" s="80"/>
      <c r="R319" s="80"/>
    </row>
    <row r="320">
      <c r="K320" s="80"/>
      <c r="L320" s="80"/>
      <c r="M320" s="80"/>
      <c r="N320" s="80"/>
      <c r="O320" s="80"/>
      <c r="P320" s="80"/>
      <c r="Q320" s="80"/>
      <c r="R320" s="80"/>
    </row>
    <row r="321">
      <c r="K321" s="80"/>
      <c r="L321" s="80"/>
      <c r="M321" s="80"/>
      <c r="N321" s="80"/>
      <c r="O321" s="80"/>
      <c r="P321" s="80"/>
      <c r="Q321" s="80"/>
      <c r="R321" s="80"/>
    </row>
    <row r="322">
      <c r="K322" s="80"/>
      <c r="L322" s="80"/>
      <c r="M322" s="80"/>
      <c r="N322" s="80"/>
      <c r="O322" s="80"/>
      <c r="P322" s="80"/>
      <c r="Q322" s="80"/>
      <c r="R322" s="80"/>
    </row>
    <row r="323">
      <c r="K323" s="80"/>
      <c r="L323" s="80"/>
      <c r="M323" s="80"/>
      <c r="N323" s="80"/>
      <c r="O323" s="80"/>
      <c r="P323" s="80"/>
      <c r="Q323" s="80"/>
      <c r="R323" s="80"/>
    </row>
    <row r="324">
      <c r="K324" s="80"/>
      <c r="L324" s="80"/>
      <c r="M324" s="80"/>
      <c r="N324" s="80"/>
      <c r="O324" s="80"/>
      <c r="P324" s="80"/>
      <c r="Q324" s="80"/>
      <c r="R324" s="80"/>
    </row>
    <row r="325">
      <c r="K325" s="80"/>
      <c r="L325" s="80"/>
      <c r="M325" s="80"/>
      <c r="N325" s="80"/>
      <c r="O325" s="80"/>
      <c r="P325" s="80"/>
      <c r="Q325" s="80"/>
      <c r="R325" s="80"/>
    </row>
    <row r="326">
      <c r="K326" s="80"/>
      <c r="L326" s="80"/>
      <c r="M326" s="80"/>
      <c r="N326" s="80"/>
      <c r="O326" s="80"/>
      <c r="P326" s="80"/>
      <c r="Q326" s="80"/>
      <c r="R326" s="80"/>
    </row>
    <row r="327">
      <c r="K327" s="80"/>
      <c r="L327" s="80"/>
      <c r="M327" s="80"/>
      <c r="N327" s="80"/>
      <c r="O327" s="80"/>
      <c r="P327" s="80"/>
      <c r="Q327" s="80"/>
      <c r="R327" s="80"/>
    </row>
    <row r="328">
      <c r="K328" s="80"/>
      <c r="L328" s="80"/>
      <c r="M328" s="80"/>
      <c r="N328" s="80"/>
      <c r="O328" s="80"/>
      <c r="P328" s="80"/>
      <c r="Q328" s="80"/>
      <c r="R328" s="80"/>
    </row>
    <row r="329">
      <c r="K329" s="80"/>
      <c r="L329" s="80"/>
      <c r="M329" s="80"/>
      <c r="N329" s="80"/>
      <c r="O329" s="80"/>
      <c r="P329" s="80"/>
      <c r="Q329" s="80"/>
      <c r="R329" s="80"/>
    </row>
    <row r="330">
      <c r="K330" s="80"/>
      <c r="L330" s="80"/>
      <c r="M330" s="80"/>
      <c r="N330" s="80"/>
      <c r="O330" s="80"/>
      <c r="P330" s="80"/>
      <c r="Q330" s="80"/>
      <c r="R330" s="80"/>
    </row>
    <row r="331">
      <c r="K331" s="80"/>
      <c r="L331" s="80"/>
      <c r="M331" s="80"/>
      <c r="N331" s="80"/>
      <c r="O331" s="80"/>
      <c r="P331" s="80"/>
      <c r="Q331" s="80"/>
      <c r="R331" s="80"/>
    </row>
    <row r="332">
      <c r="K332" s="80"/>
      <c r="L332" s="80"/>
      <c r="M332" s="80"/>
      <c r="N332" s="80"/>
      <c r="O332" s="80"/>
      <c r="P332" s="80"/>
      <c r="Q332" s="80"/>
      <c r="R332" s="80"/>
    </row>
    <row r="333">
      <c r="K333" s="80"/>
      <c r="L333" s="80"/>
      <c r="M333" s="80"/>
      <c r="N333" s="80"/>
      <c r="O333" s="80"/>
      <c r="P333" s="80"/>
      <c r="Q333" s="80"/>
      <c r="R333" s="80"/>
    </row>
    <row r="334">
      <c r="K334" s="80"/>
      <c r="L334" s="80"/>
      <c r="M334" s="80"/>
      <c r="N334" s="80"/>
      <c r="O334" s="80"/>
      <c r="P334" s="80"/>
      <c r="Q334" s="80"/>
      <c r="R334" s="80"/>
    </row>
    <row r="335">
      <c r="K335" s="80"/>
      <c r="L335" s="80"/>
      <c r="M335" s="80"/>
      <c r="N335" s="80"/>
      <c r="O335" s="80"/>
      <c r="P335" s="80"/>
      <c r="Q335" s="80"/>
      <c r="R335" s="80"/>
    </row>
    <row r="336">
      <c r="K336" s="80"/>
      <c r="L336" s="80"/>
      <c r="M336" s="80"/>
      <c r="N336" s="80"/>
      <c r="O336" s="80"/>
      <c r="P336" s="80"/>
      <c r="Q336" s="80"/>
      <c r="R336" s="80"/>
    </row>
    <row r="337">
      <c r="K337" s="80"/>
      <c r="L337" s="80"/>
      <c r="M337" s="80"/>
      <c r="N337" s="80"/>
      <c r="O337" s="80"/>
      <c r="P337" s="80"/>
      <c r="Q337" s="80"/>
      <c r="R337" s="80"/>
    </row>
    <row r="338">
      <c r="K338" s="80"/>
      <c r="L338" s="80"/>
      <c r="M338" s="80"/>
      <c r="N338" s="80"/>
      <c r="O338" s="80"/>
      <c r="P338" s="80"/>
      <c r="Q338" s="80"/>
      <c r="R338" s="80"/>
    </row>
    <row r="339">
      <c r="K339" s="80"/>
      <c r="L339" s="80"/>
      <c r="M339" s="80"/>
      <c r="N339" s="80"/>
      <c r="O339" s="80"/>
      <c r="P339" s="80"/>
      <c r="Q339" s="80"/>
      <c r="R339" s="80"/>
    </row>
    <row r="340">
      <c r="K340" s="80"/>
      <c r="L340" s="80"/>
      <c r="M340" s="80"/>
      <c r="N340" s="80"/>
      <c r="O340" s="80"/>
      <c r="P340" s="80"/>
      <c r="Q340" s="80"/>
      <c r="R340" s="80"/>
    </row>
    <row r="341">
      <c r="K341" s="80"/>
      <c r="L341" s="80"/>
      <c r="M341" s="80"/>
      <c r="N341" s="80"/>
      <c r="O341" s="80"/>
      <c r="P341" s="80"/>
      <c r="Q341" s="80"/>
      <c r="R341" s="80"/>
    </row>
    <row r="342">
      <c r="K342" s="80"/>
      <c r="L342" s="80"/>
      <c r="M342" s="80"/>
      <c r="N342" s="80"/>
      <c r="O342" s="80"/>
      <c r="P342" s="80"/>
      <c r="Q342" s="80"/>
      <c r="R342" s="80"/>
    </row>
    <row r="343">
      <c r="K343" s="80"/>
      <c r="L343" s="80"/>
      <c r="M343" s="80"/>
      <c r="N343" s="80"/>
      <c r="O343" s="80"/>
      <c r="P343" s="80"/>
      <c r="Q343" s="80"/>
      <c r="R343" s="80"/>
    </row>
    <row r="344">
      <c r="K344" s="80"/>
      <c r="L344" s="80"/>
      <c r="M344" s="80"/>
      <c r="N344" s="80"/>
      <c r="O344" s="80"/>
      <c r="P344" s="80"/>
      <c r="Q344" s="80"/>
      <c r="R344" s="80"/>
    </row>
    <row r="345">
      <c r="K345" s="80"/>
      <c r="L345" s="80"/>
      <c r="M345" s="80"/>
      <c r="N345" s="80"/>
      <c r="O345" s="80"/>
      <c r="P345" s="80"/>
      <c r="Q345" s="80"/>
      <c r="R345" s="80"/>
    </row>
    <row r="346">
      <c r="K346" s="80"/>
      <c r="L346" s="80"/>
      <c r="M346" s="80"/>
      <c r="N346" s="80"/>
      <c r="O346" s="80"/>
      <c r="P346" s="80"/>
      <c r="Q346" s="80"/>
      <c r="R346" s="80"/>
    </row>
    <row r="347">
      <c r="K347" s="80"/>
      <c r="L347" s="80"/>
      <c r="M347" s="80"/>
      <c r="N347" s="80"/>
      <c r="O347" s="80"/>
      <c r="P347" s="80"/>
      <c r="Q347" s="80"/>
      <c r="R347" s="80"/>
    </row>
    <row r="348">
      <c r="K348" s="80"/>
      <c r="L348" s="80"/>
      <c r="M348" s="80"/>
      <c r="N348" s="80"/>
      <c r="O348" s="80"/>
      <c r="P348" s="80"/>
      <c r="Q348" s="80"/>
      <c r="R348" s="80"/>
    </row>
    <row r="349">
      <c r="K349" s="80"/>
      <c r="L349" s="80"/>
      <c r="M349" s="80"/>
      <c r="N349" s="80"/>
      <c r="O349" s="80"/>
      <c r="P349" s="80"/>
      <c r="Q349" s="80"/>
      <c r="R349" s="80"/>
    </row>
    <row r="350">
      <c r="K350" s="80"/>
      <c r="L350" s="80"/>
      <c r="M350" s="80"/>
      <c r="N350" s="80"/>
      <c r="O350" s="80"/>
      <c r="P350" s="80"/>
      <c r="Q350" s="80"/>
      <c r="R350" s="80"/>
    </row>
    <row r="351">
      <c r="K351" s="80"/>
      <c r="L351" s="80"/>
      <c r="M351" s="80"/>
      <c r="N351" s="80"/>
      <c r="O351" s="80"/>
      <c r="P351" s="80"/>
      <c r="Q351" s="80"/>
      <c r="R351" s="80"/>
    </row>
    <row r="352">
      <c r="K352" s="80"/>
      <c r="L352" s="80"/>
      <c r="M352" s="80"/>
      <c r="N352" s="80"/>
      <c r="O352" s="80"/>
      <c r="P352" s="80"/>
      <c r="Q352" s="80"/>
      <c r="R352" s="80"/>
    </row>
    <row r="353">
      <c r="K353" s="80"/>
      <c r="L353" s="80"/>
      <c r="M353" s="80"/>
      <c r="N353" s="80"/>
      <c r="O353" s="80"/>
      <c r="P353" s="80"/>
      <c r="Q353" s="80"/>
      <c r="R353" s="80"/>
    </row>
    <row r="354">
      <c r="K354" s="80"/>
      <c r="L354" s="80"/>
      <c r="M354" s="80"/>
      <c r="N354" s="80"/>
      <c r="O354" s="80"/>
      <c r="P354" s="80"/>
      <c r="Q354" s="80"/>
      <c r="R354" s="80"/>
    </row>
    <row r="355">
      <c r="K355" s="80"/>
      <c r="L355" s="80"/>
      <c r="M355" s="80"/>
      <c r="N355" s="80"/>
      <c r="O355" s="80"/>
      <c r="P355" s="80"/>
      <c r="Q355" s="80"/>
      <c r="R355" s="80"/>
    </row>
    <row r="356">
      <c r="K356" s="80"/>
      <c r="L356" s="80"/>
      <c r="M356" s="80"/>
      <c r="N356" s="80"/>
      <c r="O356" s="80"/>
      <c r="P356" s="80"/>
      <c r="Q356" s="80"/>
      <c r="R356" s="80"/>
    </row>
    <row r="357">
      <c r="K357" s="80"/>
      <c r="L357" s="80"/>
      <c r="M357" s="80"/>
      <c r="N357" s="80"/>
      <c r="O357" s="80"/>
      <c r="P357" s="80"/>
      <c r="Q357" s="80"/>
      <c r="R357" s="80"/>
    </row>
    <row r="358">
      <c r="K358" s="80"/>
      <c r="L358" s="80"/>
      <c r="M358" s="80"/>
      <c r="N358" s="80"/>
      <c r="O358" s="80"/>
      <c r="P358" s="80"/>
      <c r="Q358" s="80"/>
      <c r="R358" s="80"/>
    </row>
    <row r="359">
      <c r="K359" s="80"/>
      <c r="L359" s="80"/>
      <c r="M359" s="80"/>
      <c r="N359" s="80"/>
      <c r="O359" s="80"/>
      <c r="P359" s="80"/>
      <c r="Q359" s="80"/>
      <c r="R359" s="80"/>
    </row>
    <row r="360">
      <c r="K360" s="80"/>
      <c r="L360" s="80"/>
      <c r="M360" s="80"/>
      <c r="N360" s="80"/>
      <c r="O360" s="80"/>
      <c r="P360" s="80"/>
      <c r="Q360" s="80"/>
      <c r="R360" s="80"/>
    </row>
    <row r="361">
      <c r="K361" s="80"/>
      <c r="L361" s="80"/>
      <c r="M361" s="80"/>
      <c r="N361" s="80"/>
      <c r="O361" s="80"/>
      <c r="P361" s="80"/>
      <c r="Q361" s="80"/>
      <c r="R361" s="80"/>
    </row>
    <row r="362">
      <c r="K362" s="80"/>
      <c r="L362" s="80"/>
      <c r="M362" s="80"/>
      <c r="N362" s="80"/>
      <c r="O362" s="80"/>
      <c r="P362" s="80"/>
      <c r="Q362" s="80"/>
      <c r="R362" s="80"/>
    </row>
    <row r="363">
      <c r="K363" s="80"/>
      <c r="L363" s="80"/>
      <c r="M363" s="80"/>
      <c r="N363" s="80"/>
      <c r="O363" s="80"/>
      <c r="P363" s="80"/>
      <c r="Q363" s="80"/>
      <c r="R363" s="80"/>
    </row>
    <row r="364">
      <c r="K364" s="80"/>
      <c r="L364" s="80"/>
      <c r="M364" s="80"/>
      <c r="N364" s="80"/>
      <c r="O364" s="80"/>
      <c r="P364" s="80"/>
      <c r="Q364" s="80"/>
      <c r="R364" s="80"/>
    </row>
    <row r="365">
      <c r="K365" s="80"/>
      <c r="L365" s="80"/>
      <c r="M365" s="80"/>
      <c r="N365" s="80"/>
      <c r="O365" s="80"/>
      <c r="P365" s="80"/>
      <c r="Q365" s="80"/>
      <c r="R365" s="80"/>
    </row>
    <row r="366">
      <c r="K366" s="80"/>
      <c r="L366" s="80"/>
      <c r="M366" s="80"/>
      <c r="N366" s="80"/>
      <c r="O366" s="80"/>
      <c r="P366" s="80"/>
      <c r="Q366" s="80"/>
      <c r="R366" s="80"/>
    </row>
    <row r="367">
      <c r="K367" s="80"/>
      <c r="L367" s="80"/>
      <c r="M367" s="80"/>
      <c r="N367" s="80"/>
      <c r="O367" s="80"/>
      <c r="P367" s="80"/>
      <c r="Q367" s="80"/>
      <c r="R367" s="80"/>
    </row>
    <row r="368">
      <c r="K368" s="80"/>
      <c r="L368" s="80"/>
      <c r="M368" s="80"/>
      <c r="N368" s="80"/>
      <c r="O368" s="80"/>
      <c r="P368" s="80"/>
      <c r="Q368" s="80"/>
      <c r="R368" s="80"/>
    </row>
    <row r="369">
      <c r="K369" s="80"/>
      <c r="L369" s="80"/>
      <c r="M369" s="80"/>
      <c r="N369" s="80"/>
      <c r="O369" s="80"/>
      <c r="P369" s="80"/>
      <c r="Q369" s="80"/>
      <c r="R369" s="80"/>
    </row>
    <row r="370">
      <c r="K370" s="80"/>
      <c r="L370" s="80"/>
      <c r="M370" s="80"/>
      <c r="N370" s="80"/>
      <c r="O370" s="80"/>
      <c r="P370" s="80"/>
      <c r="Q370" s="80"/>
      <c r="R370" s="80"/>
    </row>
    <row r="371">
      <c r="K371" s="80"/>
      <c r="L371" s="80"/>
      <c r="M371" s="80"/>
      <c r="N371" s="80"/>
      <c r="O371" s="80"/>
      <c r="P371" s="80"/>
      <c r="Q371" s="80"/>
      <c r="R371" s="80"/>
    </row>
    <row r="372">
      <c r="K372" s="80"/>
      <c r="L372" s="80"/>
      <c r="M372" s="80"/>
      <c r="N372" s="80"/>
      <c r="O372" s="80"/>
      <c r="P372" s="80"/>
      <c r="Q372" s="80"/>
      <c r="R372" s="80"/>
    </row>
    <row r="373">
      <c r="K373" s="80"/>
      <c r="L373" s="80"/>
      <c r="M373" s="80"/>
      <c r="N373" s="80"/>
      <c r="O373" s="80"/>
      <c r="P373" s="80"/>
      <c r="Q373" s="80"/>
      <c r="R373" s="80"/>
    </row>
    <row r="374">
      <c r="K374" s="80"/>
      <c r="L374" s="80"/>
      <c r="M374" s="80"/>
      <c r="N374" s="80"/>
      <c r="O374" s="80"/>
      <c r="P374" s="80"/>
      <c r="Q374" s="80"/>
      <c r="R374" s="80"/>
    </row>
    <row r="375">
      <c r="K375" s="80"/>
      <c r="L375" s="80"/>
      <c r="M375" s="80"/>
      <c r="N375" s="80"/>
      <c r="O375" s="80"/>
      <c r="P375" s="80"/>
      <c r="Q375" s="80"/>
      <c r="R375" s="80"/>
    </row>
    <row r="376">
      <c r="K376" s="80"/>
      <c r="L376" s="80"/>
      <c r="M376" s="80"/>
      <c r="N376" s="80"/>
      <c r="O376" s="80"/>
      <c r="P376" s="80"/>
      <c r="Q376" s="80"/>
      <c r="R376" s="80"/>
    </row>
    <row r="377">
      <c r="K377" s="80"/>
      <c r="L377" s="80"/>
      <c r="M377" s="80"/>
      <c r="N377" s="80"/>
      <c r="O377" s="80"/>
      <c r="P377" s="80"/>
      <c r="Q377" s="80"/>
      <c r="R377" s="80"/>
    </row>
    <row r="378">
      <c r="K378" s="80"/>
      <c r="L378" s="80"/>
      <c r="M378" s="80"/>
      <c r="N378" s="80"/>
      <c r="O378" s="80"/>
      <c r="P378" s="80"/>
      <c r="Q378" s="80"/>
      <c r="R378" s="80"/>
    </row>
    <row r="379">
      <c r="K379" s="80"/>
      <c r="L379" s="80"/>
      <c r="M379" s="80"/>
      <c r="N379" s="80"/>
      <c r="O379" s="80"/>
      <c r="P379" s="80"/>
      <c r="Q379" s="80"/>
      <c r="R379" s="80"/>
    </row>
    <row r="380">
      <c r="K380" s="80"/>
      <c r="L380" s="80"/>
      <c r="M380" s="80"/>
      <c r="N380" s="80"/>
      <c r="O380" s="80"/>
      <c r="P380" s="80"/>
      <c r="Q380" s="80"/>
      <c r="R380" s="80"/>
    </row>
    <row r="381">
      <c r="K381" s="80"/>
      <c r="L381" s="80"/>
      <c r="M381" s="80"/>
      <c r="N381" s="80"/>
      <c r="O381" s="80"/>
      <c r="P381" s="80"/>
      <c r="Q381" s="80"/>
      <c r="R381" s="80"/>
    </row>
    <row r="382">
      <c r="K382" s="80"/>
      <c r="L382" s="80"/>
      <c r="M382" s="80"/>
      <c r="N382" s="80"/>
      <c r="O382" s="80"/>
      <c r="P382" s="80"/>
      <c r="Q382" s="80"/>
      <c r="R382" s="80"/>
    </row>
    <row r="383">
      <c r="K383" s="80"/>
      <c r="L383" s="80"/>
      <c r="M383" s="80"/>
      <c r="N383" s="80"/>
      <c r="O383" s="80"/>
      <c r="P383" s="80"/>
      <c r="Q383" s="80"/>
      <c r="R383" s="80"/>
    </row>
    <row r="384">
      <c r="K384" s="80"/>
      <c r="L384" s="80"/>
      <c r="M384" s="80"/>
      <c r="N384" s="80"/>
      <c r="O384" s="80"/>
      <c r="P384" s="80"/>
      <c r="Q384" s="80"/>
      <c r="R384" s="80"/>
    </row>
    <row r="385">
      <c r="K385" s="80"/>
      <c r="L385" s="80"/>
      <c r="M385" s="80"/>
      <c r="N385" s="80"/>
      <c r="O385" s="80"/>
      <c r="P385" s="80"/>
      <c r="Q385" s="80"/>
      <c r="R385" s="80"/>
    </row>
    <row r="386">
      <c r="K386" s="80"/>
      <c r="L386" s="80"/>
      <c r="M386" s="80"/>
      <c r="N386" s="80"/>
      <c r="O386" s="80"/>
      <c r="P386" s="80"/>
      <c r="Q386" s="80"/>
      <c r="R386" s="80"/>
    </row>
    <row r="387">
      <c r="K387" s="80"/>
      <c r="L387" s="80"/>
      <c r="M387" s="80"/>
      <c r="N387" s="80"/>
      <c r="O387" s="80"/>
      <c r="P387" s="80"/>
      <c r="Q387" s="80"/>
      <c r="R387" s="80"/>
    </row>
    <row r="388">
      <c r="K388" s="80"/>
      <c r="L388" s="80"/>
      <c r="M388" s="80"/>
      <c r="N388" s="80"/>
      <c r="O388" s="80"/>
      <c r="P388" s="80"/>
      <c r="Q388" s="80"/>
      <c r="R388" s="80"/>
    </row>
    <row r="389">
      <c r="K389" s="80"/>
      <c r="L389" s="80"/>
      <c r="M389" s="80"/>
      <c r="N389" s="80"/>
      <c r="O389" s="80"/>
      <c r="P389" s="80"/>
      <c r="Q389" s="80"/>
      <c r="R389" s="80"/>
    </row>
    <row r="390">
      <c r="K390" s="80"/>
      <c r="L390" s="80"/>
      <c r="M390" s="80"/>
      <c r="N390" s="80"/>
      <c r="O390" s="80"/>
      <c r="P390" s="80"/>
      <c r="Q390" s="80"/>
      <c r="R390" s="80"/>
    </row>
    <row r="391">
      <c r="K391" s="80"/>
      <c r="L391" s="80"/>
      <c r="M391" s="80"/>
      <c r="N391" s="80"/>
      <c r="O391" s="80"/>
      <c r="P391" s="80"/>
      <c r="Q391" s="80"/>
      <c r="R391" s="80"/>
    </row>
    <row r="392">
      <c r="K392" s="80"/>
      <c r="L392" s="80"/>
      <c r="M392" s="80"/>
      <c r="N392" s="80"/>
      <c r="O392" s="80"/>
      <c r="P392" s="80"/>
      <c r="Q392" s="80"/>
      <c r="R392" s="80"/>
    </row>
    <row r="393">
      <c r="K393" s="80"/>
      <c r="L393" s="80"/>
      <c r="M393" s="80"/>
      <c r="N393" s="80"/>
      <c r="O393" s="80"/>
      <c r="P393" s="80"/>
      <c r="Q393" s="80"/>
      <c r="R393" s="80"/>
    </row>
    <row r="394">
      <c r="K394" s="80"/>
      <c r="L394" s="80"/>
      <c r="M394" s="80"/>
      <c r="N394" s="80"/>
      <c r="O394" s="80"/>
      <c r="P394" s="80"/>
      <c r="Q394" s="80"/>
      <c r="R394" s="80"/>
    </row>
    <row r="395">
      <c r="K395" s="80"/>
      <c r="L395" s="80"/>
      <c r="M395" s="80"/>
      <c r="N395" s="80"/>
      <c r="O395" s="80"/>
      <c r="P395" s="80"/>
      <c r="Q395" s="80"/>
      <c r="R395" s="80"/>
    </row>
    <row r="396">
      <c r="K396" s="80"/>
      <c r="L396" s="80"/>
      <c r="M396" s="80"/>
      <c r="N396" s="80"/>
      <c r="O396" s="80"/>
      <c r="P396" s="80"/>
      <c r="Q396" s="80"/>
      <c r="R396" s="80"/>
    </row>
    <row r="397">
      <c r="K397" s="80"/>
      <c r="L397" s="80"/>
      <c r="M397" s="80"/>
      <c r="N397" s="80"/>
      <c r="O397" s="80"/>
      <c r="P397" s="80"/>
      <c r="Q397" s="80"/>
      <c r="R397" s="80"/>
    </row>
    <row r="398">
      <c r="K398" s="80"/>
      <c r="L398" s="80"/>
      <c r="M398" s="80"/>
      <c r="N398" s="80"/>
      <c r="O398" s="80"/>
      <c r="P398" s="80"/>
      <c r="Q398" s="80"/>
      <c r="R398" s="80"/>
    </row>
    <row r="399">
      <c r="K399" s="80"/>
      <c r="L399" s="80"/>
      <c r="M399" s="80"/>
      <c r="N399" s="80"/>
      <c r="O399" s="80"/>
      <c r="P399" s="80"/>
      <c r="Q399" s="80"/>
      <c r="R399" s="80"/>
    </row>
    <row r="400">
      <c r="K400" s="80"/>
      <c r="L400" s="80"/>
      <c r="M400" s="80"/>
      <c r="N400" s="80"/>
      <c r="O400" s="80"/>
      <c r="P400" s="80"/>
      <c r="Q400" s="80"/>
      <c r="R400" s="80"/>
    </row>
    <row r="401">
      <c r="K401" s="80"/>
      <c r="L401" s="80"/>
      <c r="M401" s="80"/>
      <c r="N401" s="80"/>
      <c r="O401" s="80"/>
      <c r="P401" s="80"/>
      <c r="Q401" s="80"/>
      <c r="R401" s="80"/>
    </row>
    <row r="402">
      <c r="K402" s="80"/>
      <c r="L402" s="80"/>
      <c r="M402" s="80"/>
      <c r="N402" s="80"/>
      <c r="O402" s="80"/>
      <c r="P402" s="80"/>
      <c r="Q402" s="80"/>
      <c r="R402" s="80"/>
    </row>
    <row r="403">
      <c r="K403" s="80"/>
      <c r="L403" s="80"/>
      <c r="M403" s="80"/>
      <c r="N403" s="80"/>
      <c r="O403" s="80"/>
      <c r="P403" s="80"/>
      <c r="Q403" s="80"/>
      <c r="R403" s="80"/>
    </row>
    <row r="404">
      <c r="K404" s="80"/>
      <c r="L404" s="80"/>
      <c r="M404" s="80"/>
      <c r="N404" s="80"/>
      <c r="O404" s="80"/>
      <c r="P404" s="80"/>
      <c r="Q404" s="80"/>
      <c r="R404" s="80"/>
    </row>
    <row r="405">
      <c r="K405" s="80"/>
      <c r="L405" s="80"/>
      <c r="M405" s="80"/>
      <c r="N405" s="80"/>
      <c r="O405" s="80"/>
      <c r="P405" s="80"/>
      <c r="Q405" s="80"/>
      <c r="R405" s="80"/>
    </row>
    <row r="406">
      <c r="K406" s="80"/>
      <c r="L406" s="80"/>
      <c r="M406" s="80"/>
      <c r="N406" s="80"/>
      <c r="O406" s="80"/>
      <c r="P406" s="80"/>
      <c r="Q406" s="80"/>
      <c r="R406" s="80"/>
    </row>
    <row r="407">
      <c r="K407" s="80"/>
      <c r="L407" s="80"/>
      <c r="M407" s="80"/>
      <c r="N407" s="80"/>
      <c r="O407" s="80"/>
      <c r="P407" s="80"/>
      <c r="Q407" s="80"/>
      <c r="R407" s="80"/>
    </row>
    <row r="408">
      <c r="K408" s="80"/>
      <c r="L408" s="80"/>
      <c r="M408" s="80"/>
      <c r="N408" s="80"/>
      <c r="O408" s="80"/>
      <c r="P408" s="80"/>
      <c r="Q408" s="80"/>
      <c r="R408" s="80"/>
    </row>
    <row r="409">
      <c r="K409" s="80"/>
      <c r="L409" s="80"/>
      <c r="M409" s="80"/>
      <c r="N409" s="80"/>
      <c r="O409" s="80"/>
      <c r="P409" s="80"/>
      <c r="Q409" s="80"/>
      <c r="R409" s="80"/>
    </row>
    <row r="410">
      <c r="K410" s="80"/>
      <c r="L410" s="80"/>
      <c r="M410" s="80"/>
      <c r="N410" s="80"/>
      <c r="O410" s="80"/>
      <c r="P410" s="80"/>
      <c r="Q410" s="80"/>
      <c r="R410" s="80"/>
    </row>
    <row r="411">
      <c r="K411" s="80"/>
      <c r="L411" s="80"/>
      <c r="M411" s="80"/>
      <c r="N411" s="80"/>
      <c r="O411" s="80"/>
      <c r="P411" s="80"/>
      <c r="Q411" s="80"/>
      <c r="R411" s="80"/>
    </row>
    <row r="412">
      <c r="K412" s="80"/>
      <c r="L412" s="80"/>
      <c r="M412" s="80"/>
      <c r="N412" s="80"/>
      <c r="O412" s="80"/>
      <c r="P412" s="80"/>
      <c r="Q412" s="80"/>
      <c r="R412" s="80"/>
    </row>
    <row r="413">
      <c r="K413" s="80"/>
      <c r="L413" s="80"/>
      <c r="M413" s="80"/>
      <c r="N413" s="80"/>
      <c r="O413" s="80"/>
      <c r="P413" s="80"/>
      <c r="Q413" s="80"/>
      <c r="R413" s="80"/>
    </row>
    <row r="414">
      <c r="K414" s="80"/>
      <c r="L414" s="80"/>
      <c r="M414" s="80"/>
      <c r="N414" s="80"/>
      <c r="O414" s="80"/>
      <c r="P414" s="80"/>
      <c r="Q414" s="80"/>
      <c r="R414" s="80"/>
    </row>
    <row r="415">
      <c r="K415" s="80"/>
      <c r="L415" s="80"/>
      <c r="M415" s="80"/>
      <c r="N415" s="80"/>
      <c r="O415" s="80"/>
      <c r="P415" s="80"/>
      <c r="Q415" s="80"/>
      <c r="R415" s="80"/>
    </row>
    <row r="416">
      <c r="K416" s="80"/>
      <c r="L416" s="80"/>
      <c r="M416" s="80"/>
      <c r="N416" s="80"/>
      <c r="O416" s="80"/>
      <c r="P416" s="80"/>
      <c r="Q416" s="80"/>
      <c r="R416" s="80"/>
    </row>
    <row r="417">
      <c r="K417" s="80"/>
      <c r="L417" s="80"/>
      <c r="M417" s="80"/>
      <c r="N417" s="80"/>
      <c r="O417" s="80"/>
      <c r="P417" s="80"/>
      <c r="Q417" s="80"/>
      <c r="R417" s="80"/>
    </row>
    <row r="418">
      <c r="K418" s="80"/>
      <c r="L418" s="80"/>
      <c r="M418" s="80"/>
      <c r="N418" s="80"/>
      <c r="O418" s="80"/>
      <c r="P418" s="80"/>
      <c r="Q418" s="80"/>
      <c r="R418" s="80"/>
    </row>
    <row r="419">
      <c r="K419" s="80"/>
      <c r="L419" s="80"/>
      <c r="M419" s="80"/>
      <c r="N419" s="80"/>
      <c r="O419" s="80"/>
      <c r="P419" s="80"/>
      <c r="Q419" s="80"/>
      <c r="R419" s="80"/>
    </row>
    <row r="420">
      <c r="K420" s="80"/>
      <c r="L420" s="80"/>
      <c r="M420" s="80"/>
      <c r="N420" s="80"/>
      <c r="O420" s="80"/>
      <c r="P420" s="80"/>
      <c r="Q420" s="80"/>
      <c r="R420" s="80"/>
    </row>
    <row r="421">
      <c r="K421" s="80"/>
      <c r="L421" s="80"/>
      <c r="M421" s="80"/>
      <c r="N421" s="80"/>
      <c r="O421" s="80"/>
      <c r="P421" s="80"/>
      <c r="Q421" s="80"/>
      <c r="R421" s="80"/>
    </row>
    <row r="422">
      <c r="K422" s="80"/>
      <c r="L422" s="80"/>
      <c r="M422" s="80"/>
      <c r="N422" s="80"/>
      <c r="O422" s="80"/>
      <c r="P422" s="80"/>
      <c r="Q422" s="80"/>
      <c r="R422" s="80"/>
    </row>
    <row r="423">
      <c r="K423" s="80"/>
      <c r="L423" s="80"/>
      <c r="M423" s="80"/>
      <c r="N423" s="80"/>
      <c r="O423" s="80"/>
      <c r="P423" s="80"/>
      <c r="Q423" s="80"/>
      <c r="R423" s="80"/>
    </row>
    <row r="424">
      <c r="K424" s="80"/>
      <c r="L424" s="80"/>
      <c r="M424" s="80"/>
      <c r="N424" s="80"/>
      <c r="O424" s="80"/>
      <c r="P424" s="80"/>
      <c r="Q424" s="80"/>
      <c r="R424" s="80"/>
    </row>
    <row r="425">
      <c r="K425" s="80"/>
      <c r="L425" s="80"/>
      <c r="M425" s="80"/>
      <c r="N425" s="80"/>
      <c r="O425" s="80"/>
      <c r="P425" s="80"/>
      <c r="Q425" s="80"/>
      <c r="R425" s="80"/>
    </row>
    <row r="426">
      <c r="K426" s="80"/>
      <c r="L426" s="80"/>
      <c r="M426" s="80"/>
      <c r="N426" s="80"/>
      <c r="O426" s="80"/>
      <c r="P426" s="80"/>
      <c r="Q426" s="80"/>
      <c r="R426" s="80"/>
    </row>
    <row r="427">
      <c r="K427" s="80"/>
      <c r="L427" s="80"/>
      <c r="M427" s="80"/>
      <c r="N427" s="80"/>
      <c r="O427" s="80"/>
      <c r="P427" s="80"/>
      <c r="Q427" s="80"/>
      <c r="R427" s="80"/>
    </row>
    <row r="428">
      <c r="K428" s="80"/>
      <c r="L428" s="80"/>
      <c r="M428" s="80"/>
      <c r="N428" s="80"/>
      <c r="O428" s="80"/>
      <c r="P428" s="80"/>
      <c r="Q428" s="80"/>
      <c r="R428" s="80"/>
    </row>
    <row r="429">
      <c r="K429" s="80"/>
      <c r="L429" s="80"/>
      <c r="M429" s="80"/>
      <c r="N429" s="80"/>
      <c r="O429" s="80"/>
      <c r="P429" s="80"/>
      <c r="Q429" s="80"/>
      <c r="R429" s="80"/>
    </row>
    <row r="430">
      <c r="K430" s="80"/>
      <c r="L430" s="80"/>
      <c r="M430" s="80"/>
      <c r="N430" s="80"/>
      <c r="O430" s="80"/>
      <c r="P430" s="80"/>
      <c r="Q430" s="80"/>
      <c r="R430" s="80"/>
    </row>
    <row r="431">
      <c r="K431" s="80"/>
      <c r="L431" s="80"/>
      <c r="M431" s="80"/>
      <c r="N431" s="80"/>
      <c r="O431" s="80"/>
      <c r="P431" s="80"/>
      <c r="Q431" s="80"/>
      <c r="R431" s="80"/>
    </row>
    <row r="432">
      <c r="K432" s="80"/>
      <c r="L432" s="80"/>
      <c r="M432" s="80"/>
      <c r="N432" s="80"/>
      <c r="O432" s="80"/>
      <c r="P432" s="80"/>
      <c r="Q432" s="80"/>
      <c r="R432" s="80"/>
    </row>
    <row r="433">
      <c r="K433" s="80"/>
      <c r="L433" s="80"/>
      <c r="M433" s="80"/>
      <c r="N433" s="80"/>
      <c r="O433" s="80"/>
      <c r="P433" s="80"/>
      <c r="Q433" s="80"/>
      <c r="R433" s="80"/>
    </row>
    <row r="434">
      <c r="K434" s="80"/>
      <c r="L434" s="80"/>
      <c r="M434" s="80"/>
      <c r="N434" s="80"/>
      <c r="O434" s="80"/>
      <c r="P434" s="80"/>
      <c r="Q434" s="80"/>
      <c r="R434" s="80"/>
    </row>
    <row r="435">
      <c r="K435" s="80"/>
      <c r="L435" s="80"/>
      <c r="M435" s="80"/>
      <c r="N435" s="80"/>
      <c r="O435" s="80"/>
      <c r="P435" s="80"/>
      <c r="Q435" s="80"/>
      <c r="R435" s="80"/>
    </row>
    <row r="436">
      <c r="K436" s="80"/>
      <c r="L436" s="80"/>
      <c r="M436" s="80"/>
      <c r="N436" s="80"/>
      <c r="O436" s="80"/>
      <c r="P436" s="80"/>
      <c r="Q436" s="80"/>
      <c r="R436" s="80"/>
    </row>
    <row r="437">
      <c r="K437" s="80"/>
      <c r="L437" s="80"/>
      <c r="M437" s="80"/>
      <c r="N437" s="80"/>
      <c r="O437" s="80"/>
      <c r="P437" s="80"/>
      <c r="Q437" s="80"/>
      <c r="R437" s="80"/>
    </row>
    <row r="438">
      <c r="K438" s="80"/>
      <c r="L438" s="80"/>
      <c r="M438" s="80"/>
      <c r="N438" s="80"/>
      <c r="O438" s="80"/>
      <c r="P438" s="80"/>
      <c r="Q438" s="80"/>
      <c r="R438" s="80"/>
    </row>
    <row r="439">
      <c r="K439" s="80"/>
      <c r="L439" s="80"/>
      <c r="M439" s="80"/>
      <c r="N439" s="80"/>
      <c r="O439" s="80"/>
      <c r="P439" s="80"/>
      <c r="Q439" s="80"/>
      <c r="R439" s="80"/>
    </row>
    <row r="440">
      <c r="K440" s="80"/>
      <c r="L440" s="80"/>
      <c r="M440" s="80"/>
      <c r="N440" s="80"/>
      <c r="O440" s="80"/>
      <c r="P440" s="80"/>
      <c r="Q440" s="80"/>
      <c r="R440" s="80"/>
    </row>
    <row r="441">
      <c r="K441" s="80"/>
      <c r="L441" s="80"/>
      <c r="M441" s="80"/>
      <c r="N441" s="80"/>
      <c r="O441" s="80"/>
      <c r="P441" s="80"/>
      <c r="Q441" s="80"/>
      <c r="R441" s="80"/>
    </row>
    <row r="442">
      <c r="K442" s="80"/>
      <c r="L442" s="80"/>
      <c r="M442" s="80"/>
      <c r="N442" s="80"/>
      <c r="O442" s="80"/>
      <c r="P442" s="80"/>
      <c r="Q442" s="80"/>
      <c r="R442" s="80"/>
    </row>
    <row r="443">
      <c r="K443" s="80"/>
      <c r="L443" s="80"/>
      <c r="M443" s="80"/>
      <c r="N443" s="80"/>
      <c r="O443" s="80"/>
      <c r="P443" s="80"/>
      <c r="Q443" s="80"/>
      <c r="R443" s="80"/>
    </row>
    <row r="444">
      <c r="K444" s="80"/>
      <c r="L444" s="80"/>
      <c r="M444" s="80"/>
      <c r="N444" s="80"/>
      <c r="O444" s="80"/>
      <c r="P444" s="80"/>
      <c r="Q444" s="80"/>
      <c r="R444" s="80"/>
    </row>
    <row r="445">
      <c r="K445" s="80"/>
      <c r="L445" s="80"/>
      <c r="M445" s="80"/>
      <c r="N445" s="80"/>
      <c r="O445" s="80"/>
      <c r="P445" s="80"/>
      <c r="Q445" s="80"/>
      <c r="R445" s="80"/>
    </row>
    <row r="446">
      <c r="K446" s="80"/>
      <c r="L446" s="80"/>
      <c r="M446" s="80"/>
      <c r="N446" s="80"/>
      <c r="O446" s="80"/>
      <c r="P446" s="80"/>
      <c r="Q446" s="80"/>
      <c r="R446" s="80"/>
    </row>
    <row r="447">
      <c r="K447" s="80"/>
      <c r="L447" s="80"/>
      <c r="M447" s="80"/>
      <c r="N447" s="80"/>
      <c r="O447" s="80"/>
      <c r="P447" s="80"/>
      <c r="Q447" s="80"/>
      <c r="R447" s="80"/>
    </row>
    <row r="448">
      <c r="K448" s="80"/>
      <c r="L448" s="80"/>
      <c r="M448" s="80"/>
      <c r="N448" s="80"/>
      <c r="O448" s="80"/>
      <c r="P448" s="80"/>
      <c r="Q448" s="80"/>
      <c r="R448" s="80"/>
    </row>
    <row r="449">
      <c r="K449" s="80"/>
      <c r="L449" s="80"/>
      <c r="M449" s="80"/>
      <c r="N449" s="80"/>
      <c r="O449" s="80"/>
      <c r="P449" s="80"/>
      <c r="Q449" s="80"/>
      <c r="R449" s="80"/>
    </row>
    <row r="450">
      <c r="K450" s="80"/>
      <c r="L450" s="80"/>
      <c r="M450" s="80"/>
      <c r="N450" s="80"/>
      <c r="O450" s="80"/>
      <c r="P450" s="80"/>
      <c r="Q450" s="80"/>
      <c r="R450" s="80"/>
    </row>
    <row r="451">
      <c r="K451" s="80"/>
      <c r="L451" s="80"/>
      <c r="M451" s="80"/>
      <c r="N451" s="80"/>
      <c r="O451" s="80"/>
      <c r="P451" s="80"/>
      <c r="Q451" s="80"/>
      <c r="R451" s="80"/>
    </row>
    <row r="452">
      <c r="K452" s="80"/>
      <c r="L452" s="80"/>
      <c r="M452" s="80"/>
      <c r="N452" s="80"/>
      <c r="O452" s="80"/>
      <c r="P452" s="80"/>
      <c r="Q452" s="80"/>
      <c r="R452" s="80"/>
    </row>
    <row r="453">
      <c r="K453" s="80"/>
      <c r="L453" s="80"/>
      <c r="M453" s="80"/>
      <c r="N453" s="80"/>
      <c r="O453" s="80"/>
      <c r="P453" s="80"/>
      <c r="Q453" s="80"/>
      <c r="R453" s="80"/>
    </row>
    <row r="454">
      <c r="K454" s="80"/>
      <c r="L454" s="80"/>
      <c r="M454" s="80"/>
      <c r="N454" s="80"/>
      <c r="O454" s="80"/>
      <c r="P454" s="80"/>
      <c r="Q454" s="80"/>
      <c r="R454" s="80"/>
    </row>
    <row r="455">
      <c r="K455" s="80"/>
      <c r="L455" s="80"/>
      <c r="M455" s="80"/>
      <c r="N455" s="80"/>
      <c r="O455" s="80"/>
      <c r="P455" s="80"/>
      <c r="Q455" s="80"/>
      <c r="R455" s="80"/>
    </row>
    <row r="456">
      <c r="K456" s="80"/>
      <c r="L456" s="80"/>
      <c r="M456" s="80"/>
      <c r="N456" s="80"/>
      <c r="O456" s="80"/>
      <c r="P456" s="80"/>
      <c r="Q456" s="80"/>
      <c r="R456" s="80"/>
    </row>
    <row r="457">
      <c r="K457" s="80"/>
      <c r="L457" s="80"/>
      <c r="M457" s="80"/>
      <c r="N457" s="80"/>
      <c r="O457" s="80"/>
      <c r="P457" s="80"/>
      <c r="Q457" s="80"/>
      <c r="R457" s="80"/>
    </row>
    <row r="458">
      <c r="K458" s="80"/>
      <c r="L458" s="80"/>
      <c r="M458" s="80"/>
      <c r="N458" s="80"/>
      <c r="O458" s="80"/>
      <c r="P458" s="80"/>
      <c r="Q458" s="80"/>
      <c r="R458" s="80"/>
    </row>
    <row r="459">
      <c r="K459" s="80"/>
      <c r="L459" s="80"/>
      <c r="M459" s="80"/>
      <c r="N459" s="80"/>
      <c r="O459" s="80"/>
      <c r="P459" s="80"/>
      <c r="Q459" s="80"/>
      <c r="R459" s="80"/>
    </row>
    <row r="460">
      <c r="K460" s="80"/>
      <c r="L460" s="80"/>
      <c r="M460" s="80"/>
      <c r="N460" s="80"/>
      <c r="O460" s="80"/>
      <c r="P460" s="80"/>
      <c r="Q460" s="80"/>
      <c r="R460" s="80"/>
    </row>
    <row r="461">
      <c r="K461" s="80"/>
      <c r="L461" s="80"/>
      <c r="M461" s="80"/>
      <c r="N461" s="80"/>
      <c r="O461" s="80"/>
      <c r="P461" s="80"/>
      <c r="Q461" s="80"/>
      <c r="R461" s="80"/>
    </row>
    <row r="462">
      <c r="K462" s="80"/>
      <c r="L462" s="80"/>
      <c r="M462" s="80"/>
      <c r="N462" s="80"/>
      <c r="O462" s="80"/>
      <c r="P462" s="80"/>
      <c r="Q462" s="80"/>
      <c r="R462" s="80"/>
    </row>
    <row r="463">
      <c r="K463" s="80"/>
      <c r="L463" s="80"/>
      <c r="M463" s="80"/>
      <c r="N463" s="80"/>
      <c r="O463" s="80"/>
      <c r="P463" s="80"/>
      <c r="Q463" s="80"/>
      <c r="R463" s="80"/>
    </row>
    <row r="464">
      <c r="K464" s="80"/>
      <c r="L464" s="80"/>
      <c r="M464" s="80"/>
      <c r="N464" s="80"/>
      <c r="O464" s="80"/>
      <c r="P464" s="80"/>
      <c r="Q464" s="80"/>
      <c r="R464" s="80"/>
    </row>
    <row r="465">
      <c r="K465" s="80"/>
      <c r="L465" s="80"/>
      <c r="M465" s="80"/>
      <c r="N465" s="80"/>
      <c r="O465" s="80"/>
      <c r="P465" s="80"/>
      <c r="Q465" s="80"/>
      <c r="R465" s="80"/>
    </row>
    <row r="466">
      <c r="K466" s="80"/>
      <c r="L466" s="80"/>
      <c r="M466" s="80"/>
      <c r="N466" s="80"/>
      <c r="O466" s="80"/>
      <c r="P466" s="80"/>
      <c r="Q466" s="80"/>
      <c r="R466" s="80"/>
    </row>
    <row r="467">
      <c r="K467" s="80"/>
      <c r="L467" s="80"/>
      <c r="M467" s="80"/>
      <c r="N467" s="80"/>
      <c r="O467" s="80"/>
      <c r="P467" s="80"/>
      <c r="Q467" s="80"/>
      <c r="R467" s="80"/>
    </row>
    <row r="468">
      <c r="K468" s="80"/>
      <c r="L468" s="80"/>
      <c r="M468" s="80"/>
      <c r="N468" s="80"/>
      <c r="O468" s="80"/>
      <c r="P468" s="80"/>
      <c r="Q468" s="80"/>
      <c r="R468" s="80"/>
    </row>
    <row r="469">
      <c r="K469" s="80"/>
      <c r="L469" s="80"/>
      <c r="M469" s="80"/>
      <c r="N469" s="80"/>
      <c r="O469" s="80"/>
      <c r="P469" s="80"/>
      <c r="Q469" s="80"/>
      <c r="R469" s="80"/>
    </row>
    <row r="470">
      <c r="K470" s="80"/>
      <c r="L470" s="80"/>
      <c r="M470" s="80"/>
      <c r="N470" s="80"/>
      <c r="O470" s="80"/>
      <c r="P470" s="80"/>
      <c r="Q470" s="80"/>
      <c r="R470" s="80"/>
    </row>
    <row r="471">
      <c r="K471" s="80"/>
      <c r="L471" s="80"/>
      <c r="M471" s="80"/>
      <c r="N471" s="80"/>
      <c r="O471" s="80"/>
      <c r="P471" s="80"/>
      <c r="Q471" s="80"/>
      <c r="R471" s="80"/>
    </row>
    <row r="472">
      <c r="K472" s="80"/>
      <c r="L472" s="80"/>
      <c r="M472" s="80"/>
      <c r="N472" s="80"/>
      <c r="O472" s="80"/>
      <c r="P472" s="80"/>
      <c r="Q472" s="80"/>
      <c r="R472" s="80"/>
    </row>
    <row r="473">
      <c r="K473" s="80"/>
      <c r="L473" s="80"/>
      <c r="M473" s="80"/>
      <c r="N473" s="80"/>
      <c r="O473" s="80"/>
      <c r="P473" s="80"/>
      <c r="Q473" s="80"/>
      <c r="R473" s="80"/>
    </row>
    <row r="474">
      <c r="K474" s="80"/>
      <c r="L474" s="80"/>
      <c r="M474" s="80"/>
      <c r="N474" s="80"/>
      <c r="O474" s="80"/>
      <c r="P474" s="80"/>
      <c r="Q474" s="80"/>
      <c r="R474" s="80"/>
    </row>
    <row r="475">
      <c r="K475" s="80"/>
      <c r="L475" s="80"/>
      <c r="M475" s="80"/>
      <c r="N475" s="80"/>
      <c r="O475" s="80"/>
      <c r="P475" s="80"/>
      <c r="Q475" s="80"/>
      <c r="R475" s="80"/>
    </row>
    <row r="476">
      <c r="K476" s="80"/>
      <c r="L476" s="80"/>
      <c r="M476" s="80"/>
      <c r="N476" s="80"/>
      <c r="O476" s="80"/>
      <c r="P476" s="80"/>
      <c r="Q476" s="80"/>
      <c r="R476" s="80"/>
    </row>
    <row r="477">
      <c r="K477" s="80"/>
      <c r="L477" s="80"/>
      <c r="M477" s="80"/>
      <c r="N477" s="80"/>
      <c r="O477" s="80"/>
      <c r="P477" s="80"/>
      <c r="Q477" s="80"/>
      <c r="R477" s="80"/>
    </row>
    <row r="478">
      <c r="K478" s="80"/>
      <c r="L478" s="80"/>
      <c r="M478" s="80"/>
      <c r="N478" s="80"/>
      <c r="O478" s="80"/>
      <c r="P478" s="80"/>
      <c r="Q478" s="80"/>
      <c r="R478" s="80"/>
    </row>
    <row r="479">
      <c r="K479" s="80"/>
      <c r="L479" s="80"/>
      <c r="M479" s="80"/>
      <c r="N479" s="80"/>
      <c r="O479" s="80"/>
      <c r="P479" s="80"/>
      <c r="Q479" s="80"/>
      <c r="R479" s="80"/>
    </row>
    <row r="480">
      <c r="K480" s="80"/>
      <c r="L480" s="80"/>
      <c r="M480" s="80"/>
      <c r="N480" s="80"/>
      <c r="O480" s="80"/>
      <c r="P480" s="80"/>
      <c r="Q480" s="80"/>
      <c r="R480" s="80"/>
    </row>
    <row r="481">
      <c r="K481" s="80"/>
      <c r="L481" s="80"/>
      <c r="M481" s="80"/>
      <c r="N481" s="80"/>
      <c r="O481" s="80"/>
      <c r="P481" s="80"/>
      <c r="Q481" s="80"/>
      <c r="R481" s="80"/>
    </row>
    <row r="482">
      <c r="K482" s="80"/>
      <c r="L482" s="80"/>
      <c r="M482" s="80"/>
      <c r="N482" s="80"/>
      <c r="O482" s="80"/>
      <c r="P482" s="80"/>
      <c r="Q482" s="80"/>
      <c r="R482" s="80"/>
    </row>
    <row r="483">
      <c r="K483" s="80"/>
      <c r="L483" s="80"/>
      <c r="M483" s="80"/>
      <c r="N483" s="80"/>
      <c r="O483" s="80"/>
      <c r="P483" s="80"/>
      <c r="Q483" s="80"/>
      <c r="R483" s="80"/>
    </row>
    <row r="484">
      <c r="K484" s="80"/>
      <c r="L484" s="80"/>
      <c r="M484" s="80"/>
      <c r="N484" s="80"/>
      <c r="O484" s="80"/>
      <c r="P484" s="80"/>
      <c r="Q484" s="80"/>
      <c r="R484" s="80"/>
    </row>
    <row r="485">
      <c r="K485" s="80"/>
      <c r="L485" s="80"/>
      <c r="M485" s="80"/>
      <c r="N485" s="80"/>
      <c r="O485" s="80"/>
      <c r="P485" s="80"/>
      <c r="Q485" s="80"/>
      <c r="R485" s="80"/>
    </row>
    <row r="486">
      <c r="K486" s="80"/>
      <c r="L486" s="80"/>
      <c r="M486" s="80"/>
      <c r="N486" s="80"/>
      <c r="O486" s="80"/>
      <c r="P486" s="80"/>
      <c r="Q486" s="80"/>
      <c r="R486" s="80"/>
    </row>
    <row r="487">
      <c r="K487" s="80"/>
      <c r="L487" s="80"/>
      <c r="M487" s="80"/>
      <c r="N487" s="80"/>
      <c r="O487" s="80"/>
      <c r="P487" s="80"/>
      <c r="Q487" s="80"/>
      <c r="R487" s="80"/>
    </row>
    <row r="488">
      <c r="K488" s="80"/>
      <c r="L488" s="80"/>
      <c r="M488" s="80"/>
      <c r="N488" s="80"/>
      <c r="O488" s="80"/>
      <c r="P488" s="80"/>
      <c r="Q488" s="80"/>
      <c r="R488" s="80"/>
    </row>
    <row r="489">
      <c r="K489" s="80"/>
      <c r="L489" s="80"/>
      <c r="M489" s="80"/>
      <c r="N489" s="80"/>
      <c r="O489" s="80"/>
      <c r="P489" s="80"/>
      <c r="Q489" s="80"/>
      <c r="R489" s="80"/>
    </row>
    <row r="490">
      <c r="K490" s="80"/>
      <c r="L490" s="80"/>
      <c r="M490" s="80"/>
      <c r="N490" s="80"/>
      <c r="O490" s="80"/>
      <c r="P490" s="80"/>
      <c r="Q490" s="80"/>
      <c r="R490" s="80"/>
    </row>
    <row r="491">
      <c r="K491" s="80"/>
      <c r="L491" s="80"/>
      <c r="M491" s="80"/>
      <c r="N491" s="80"/>
      <c r="O491" s="80"/>
      <c r="P491" s="80"/>
      <c r="Q491" s="80"/>
      <c r="R491" s="80"/>
    </row>
    <row r="492">
      <c r="K492" s="80"/>
      <c r="L492" s="80"/>
      <c r="M492" s="80"/>
      <c r="N492" s="80"/>
      <c r="O492" s="80"/>
      <c r="P492" s="80"/>
      <c r="Q492" s="80"/>
      <c r="R492" s="80"/>
    </row>
    <row r="493">
      <c r="K493" s="80"/>
      <c r="L493" s="80"/>
      <c r="M493" s="80"/>
      <c r="N493" s="80"/>
      <c r="O493" s="80"/>
      <c r="P493" s="80"/>
      <c r="Q493" s="80"/>
      <c r="R493" s="80"/>
    </row>
    <row r="494">
      <c r="K494" s="80"/>
      <c r="L494" s="80"/>
      <c r="M494" s="80"/>
      <c r="N494" s="80"/>
      <c r="O494" s="80"/>
      <c r="P494" s="80"/>
      <c r="Q494" s="80"/>
      <c r="R494" s="80"/>
    </row>
    <row r="495">
      <c r="K495" s="80"/>
      <c r="L495" s="80"/>
      <c r="M495" s="80"/>
      <c r="N495" s="80"/>
      <c r="O495" s="80"/>
      <c r="P495" s="80"/>
      <c r="Q495" s="80"/>
      <c r="R495" s="80"/>
    </row>
    <row r="496">
      <c r="K496" s="80"/>
      <c r="L496" s="80"/>
      <c r="M496" s="80"/>
      <c r="N496" s="80"/>
      <c r="O496" s="80"/>
      <c r="P496" s="80"/>
      <c r="Q496" s="80"/>
      <c r="R496" s="80"/>
    </row>
    <row r="497">
      <c r="K497" s="80"/>
      <c r="L497" s="80"/>
      <c r="M497" s="80"/>
      <c r="N497" s="80"/>
      <c r="O497" s="80"/>
      <c r="P497" s="80"/>
      <c r="Q497" s="80"/>
      <c r="R497" s="80"/>
    </row>
    <row r="498">
      <c r="K498" s="80"/>
      <c r="L498" s="80"/>
      <c r="M498" s="80"/>
      <c r="N498" s="80"/>
      <c r="O498" s="80"/>
      <c r="P498" s="80"/>
      <c r="Q498" s="80"/>
      <c r="R498" s="80"/>
    </row>
    <row r="499">
      <c r="K499" s="80"/>
      <c r="L499" s="80"/>
      <c r="M499" s="80"/>
      <c r="N499" s="80"/>
      <c r="O499" s="80"/>
      <c r="P499" s="80"/>
      <c r="Q499" s="80"/>
      <c r="R499" s="80"/>
    </row>
    <row r="500">
      <c r="K500" s="80"/>
      <c r="L500" s="80"/>
      <c r="M500" s="80"/>
      <c r="N500" s="80"/>
      <c r="O500" s="80"/>
      <c r="P500" s="80"/>
      <c r="Q500" s="80"/>
      <c r="R500" s="80"/>
    </row>
    <row r="501">
      <c r="K501" s="80"/>
      <c r="L501" s="80"/>
      <c r="M501" s="80"/>
      <c r="N501" s="80"/>
      <c r="O501" s="80"/>
      <c r="P501" s="80"/>
      <c r="Q501" s="80"/>
      <c r="R501" s="80"/>
    </row>
    <row r="502">
      <c r="K502" s="80"/>
      <c r="L502" s="80"/>
      <c r="M502" s="80"/>
      <c r="N502" s="80"/>
      <c r="O502" s="80"/>
      <c r="P502" s="80"/>
      <c r="Q502" s="80"/>
      <c r="R502" s="80"/>
    </row>
    <row r="503">
      <c r="K503" s="80"/>
      <c r="L503" s="80"/>
      <c r="M503" s="80"/>
      <c r="N503" s="80"/>
      <c r="O503" s="80"/>
      <c r="P503" s="80"/>
      <c r="Q503" s="80"/>
      <c r="R503" s="80"/>
    </row>
    <row r="504">
      <c r="K504" s="80"/>
      <c r="L504" s="80"/>
      <c r="M504" s="80"/>
      <c r="N504" s="80"/>
      <c r="O504" s="80"/>
      <c r="P504" s="80"/>
      <c r="Q504" s="80"/>
      <c r="R504" s="80"/>
    </row>
    <row r="505">
      <c r="K505" s="80"/>
      <c r="L505" s="80"/>
      <c r="M505" s="80"/>
      <c r="N505" s="80"/>
      <c r="O505" s="80"/>
      <c r="P505" s="80"/>
      <c r="Q505" s="80"/>
      <c r="R505" s="80"/>
    </row>
    <row r="506">
      <c r="K506" s="80"/>
      <c r="L506" s="80"/>
      <c r="M506" s="80"/>
      <c r="N506" s="80"/>
      <c r="O506" s="80"/>
      <c r="P506" s="80"/>
      <c r="Q506" s="80"/>
      <c r="R506" s="80"/>
    </row>
    <row r="507">
      <c r="K507" s="80"/>
      <c r="L507" s="80"/>
      <c r="M507" s="80"/>
      <c r="N507" s="80"/>
      <c r="O507" s="80"/>
      <c r="P507" s="80"/>
      <c r="Q507" s="80"/>
      <c r="R507" s="80"/>
    </row>
    <row r="508">
      <c r="K508" s="80"/>
      <c r="L508" s="80"/>
      <c r="M508" s="80"/>
      <c r="N508" s="80"/>
      <c r="O508" s="80"/>
      <c r="P508" s="80"/>
      <c r="Q508" s="80"/>
      <c r="R508" s="80"/>
    </row>
    <row r="509">
      <c r="K509" s="80"/>
      <c r="L509" s="80"/>
      <c r="M509" s="80"/>
      <c r="N509" s="80"/>
      <c r="O509" s="80"/>
      <c r="P509" s="80"/>
      <c r="Q509" s="80"/>
      <c r="R509" s="80"/>
    </row>
    <row r="510">
      <c r="K510" s="80"/>
      <c r="L510" s="80"/>
      <c r="M510" s="80"/>
      <c r="N510" s="80"/>
      <c r="O510" s="80"/>
      <c r="P510" s="80"/>
      <c r="Q510" s="80"/>
      <c r="R510" s="80"/>
    </row>
    <row r="511">
      <c r="K511" s="80"/>
      <c r="L511" s="80"/>
      <c r="M511" s="80"/>
      <c r="N511" s="80"/>
      <c r="O511" s="80"/>
      <c r="P511" s="80"/>
      <c r="Q511" s="80"/>
      <c r="R511" s="80"/>
    </row>
    <row r="512">
      <c r="K512" s="80"/>
      <c r="L512" s="80"/>
      <c r="M512" s="80"/>
      <c r="N512" s="80"/>
      <c r="O512" s="80"/>
      <c r="P512" s="80"/>
      <c r="Q512" s="80"/>
      <c r="R512" s="80"/>
    </row>
    <row r="513">
      <c r="K513" s="80"/>
      <c r="L513" s="80"/>
      <c r="M513" s="80"/>
      <c r="N513" s="80"/>
      <c r="O513" s="80"/>
      <c r="P513" s="80"/>
      <c r="Q513" s="80"/>
      <c r="R513" s="80"/>
    </row>
    <row r="514">
      <c r="K514" s="80"/>
      <c r="L514" s="80"/>
      <c r="M514" s="80"/>
      <c r="N514" s="80"/>
      <c r="O514" s="80"/>
      <c r="P514" s="80"/>
      <c r="Q514" s="80"/>
      <c r="R514" s="80"/>
    </row>
    <row r="515">
      <c r="K515" s="80"/>
      <c r="L515" s="80"/>
      <c r="M515" s="80"/>
      <c r="N515" s="80"/>
      <c r="O515" s="80"/>
      <c r="P515" s="80"/>
      <c r="Q515" s="80"/>
      <c r="R515" s="80"/>
    </row>
    <row r="516">
      <c r="K516" s="80"/>
      <c r="L516" s="80"/>
      <c r="M516" s="80"/>
      <c r="N516" s="80"/>
      <c r="O516" s="80"/>
      <c r="P516" s="80"/>
      <c r="Q516" s="80"/>
      <c r="R516" s="80"/>
    </row>
    <row r="517">
      <c r="K517" s="80"/>
      <c r="L517" s="80"/>
      <c r="M517" s="80"/>
      <c r="N517" s="80"/>
      <c r="O517" s="80"/>
      <c r="P517" s="80"/>
      <c r="Q517" s="80"/>
      <c r="R517" s="80"/>
    </row>
    <row r="518">
      <c r="K518" s="80"/>
      <c r="L518" s="80"/>
      <c r="M518" s="80"/>
      <c r="N518" s="80"/>
      <c r="O518" s="80"/>
      <c r="P518" s="80"/>
      <c r="Q518" s="80"/>
      <c r="R518" s="80"/>
    </row>
    <row r="519">
      <c r="K519" s="80"/>
      <c r="L519" s="80"/>
      <c r="M519" s="80"/>
      <c r="N519" s="80"/>
      <c r="O519" s="80"/>
      <c r="P519" s="80"/>
      <c r="Q519" s="80"/>
      <c r="R519" s="80"/>
    </row>
    <row r="520">
      <c r="K520" s="80"/>
      <c r="L520" s="80"/>
      <c r="M520" s="80"/>
      <c r="N520" s="80"/>
      <c r="O520" s="80"/>
      <c r="P520" s="80"/>
      <c r="Q520" s="80"/>
      <c r="R520" s="80"/>
    </row>
    <row r="521">
      <c r="K521" s="80"/>
      <c r="L521" s="80"/>
      <c r="M521" s="80"/>
      <c r="N521" s="80"/>
      <c r="O521" s="80"/>
      <c r="P521" s="80"/>
      <c r="Q521" s="80"/>
      <c r="R521" s="80"/>
    </row>
    <row r="522">
      <c r="K522" s="80"/>
      <c r="L522" s="80"/>
      <c r="M522" s="80"/>
      <c r="N522" s="80"/>
      <c r="O522" s="80"/>
      <c r="P522" s="80"/>
      <c r="Q522" s="80"/>
      <c r="R522" s="80"/>
    </row>
    <row r="523">
      <c r="K523" s="80"/>
      <c r="L523" s="80"/>
      <c r="M523" s="80"/>
      <c r="N523" s="80"/>
      <c r="O523" s="80"/>
      <c r="P523" s="80"/>
      <c r="Q523" s="80"/>
      <c r="R523" s="80"/>
    </row>
    <row r="524">
      <c r="K524" s="80"/>
      <c r="L524" s="80"/>
      <c r="M524" s="80"/>
      <c r="N524" s="80"/>
      <c r="O524" s="80"/>
      <c r="P524" s="80"/>
      <c r="Q524" s="80"/>
      <c r="R524" s="80"/>
    </row>
    <row r="525">
      <c r="K525" s="80"/>
      <c r="L525" s="80"/>
      <c r="M525" s="80"/>
      <c r="N525" s="80"/>
      <c r="O525" s="80"/>
      <c r="P525" s="80"/>
      <c r="Q525" s="80"/>
      <c r="R525" s="80"/>
    </row>
    <row r="526">
      <c r="K526" s="80"/>
      <c r="L526" s="80"/>
      <c r="M526" s="80"/>
      <c r="N526" s="80"/>
      <c r="O526" s="80"/>
      <c r="P526" s="80"/>
      <c r="Q526" s="80"/>
      <c r="R526" s="80"/>
    </row>
    <row r="527">
      <c r="K527" s="80"/>
      <c r="L527" s="80"/>
      <c r="M527" s="80"/>
      <c r="N527" s="80"/>
      <c r="O527" s="80"/>
      <c r="P527" s="80"/>
      <c r="Q527" s="80"/>
      <c r="R527" s="80"/>
    </row>
    <row r="528">
      <c r="K528" s="80"/>
      <c r="L528" s="80"/>
      <c r="M528" s="80"/>
      <c r="N528" s="80"/>
      <c r="O528" s="80"/>
      <c r="P528" s="80"/>
      <c r="Q528" s="80"/>
      <c r="R528" s="80"/>
    </row>
    <row r="529">
      <c r="K529" s="80"/>
      <c r="L529" s="80"/>
      <c r="M529" s="80"/>
      <c r="N529" s="80"/>
      <c r="O529" s="80"/>
      <c r="P529" s="80"/>
      <c r="Q529" s="80"/>
      <c r="R529" s="80"/>
    </row>
    <row r="530">
      <c r="K530" s="80"/>
      <c r="L530" s="80"/>
      <c r="M530" s="80"/>
      <c r="N530" s="80"/>
      <c r="O530" s="80"/>
      <c r="P530" s="80"/>
      <c r="Q530" s="80"/>
      <c r="R530" s="80"/>
    </row>
    <row r="531">
      <c r="K531" s="80"/>
      <c r="L531" s="80"/>
      <c r="M531" s="80"/>
      <c r="N531" s="80"/>
      <c r="O531" s="80"/>
      <c r="P531" s="80"/>
      <c r="Q531" s="80"/>
      <c r="R531" s="80"/>
    </row>
    <row r="532">
      <c r="K532" s="80"/>
      <c r="L532" s="80"/>
      <c r="M532" s="80"/>
      <c r="N532" s="80"/>
      <c r="O532" s="80"/>
      <c r="P532" s="80"/>
      <c r="Q532" s="80"/>
      <c r="R532" s="80"/>
    </row>
    <row r="533">
      <c r="K533" s="80"/>
      <c r="L533" s="80"/>
      <c r="M533" s="80"/>
      <c r="N533" s="80"/>
      <c r="O533" s="80"/>
      <c r="P533" s="80"/>
      <c r="Q533" s="80"/>
      <c r="R533" s="80"/>
    </row>
    <row r="534">
      <c r="K534" s="80"/>
      <c r="L534" s="80"/>
      <c r="M534" s="80"/>
      <c r="N534" s="80"/>
      <c r="O534" s="80"/>
      <c r="P534" s="80"/>
      <c r="Q534" s="80"/>
      <c r="R534" s="80"/>
    </row>
    <row r="535">
      <c r="K535" s="80"/>
      <c r="L535" s="80"/>
      <c r="M535" s="80"/>
      <c r="N535" s="80"/>
      <c r="O535" s="80"/>
      <c r="P535" s="80"/>
      <c r="Q535" s="80"/>
      <c r="R535" s="80"/>
    </row>
    <row r="536">
      <c r="K536" s="80"/>
      <c r="L536" s="80"/>
      <c r="M536" s="80"/>
      <c r="N536" s="80"/>
      <c r="O536" s="80"/>
      <c r="P536" s="80"/>
      <c r="Q536" s="80"/>
      <c r="R536" s="80"/>
    </row>
    <row r="537">
      <c r="K537" s="80"/>
      <c r="L537" s="80"/>
      <c r="M537" s="80"/>
      <c r="N537" s="80"/>
      <c r="O537" s="80"/>
      <c r="P537" s="80"/>
      <c r="Q537" s="80"/>
      <c r="R537" s="80"/>
    </row>
    <row r="538">
      <c r="K538" s="80"/>
      <c r="L538" s="80"/>
      <c r="M538" s="80"/>
      <c r="N538" s="80"/>
      <c r="O538" s="80"/>
      <c r="P538" s="80"/>
      <c r="Q538" s="80"/>
      <c r="R538" s="80"/>
    </row>
    <row r="539">
      <c r="K539" s="80"/>
      <c r="L539" s="80"/>
      <c r="M539" s="80"/>
      <c r="N539" s="80"/>
      <c r="O539" s="80"/>
      <c r="P539" s="80"/>
      <c r="Q539" s="80"/>
      <c r="R539" s="80"/>
    </row>
    <row r="540">
      <c r="K540" s="80"/>
      <c r="L540" s="80"/>
      <c r="M540" s="80"/>
      <c r="N540" s="80"/>
      <c r="O540" s="80"/>
      <c r="P540" s="80"/>
      <c r="Q540" s="80"/>
      <c r="R540" s="80"/>
    </row>
    <row r="541">
      <c r="K541" s="80"/>
      <c r="L541" s="80"/>
      <c r="M541" s="80"/>
      <c r="N541" s="80"/>
      <c r="O541" s="80"/>
      <c r="P541" s="80"/>
      <c r="Q541" s="80"/>
      <c r="R541" s="80"/>
    </row>
    <row r="542">
      <c r="K542" s="80"/>
      <c r="L542" s="80"/>
      <c r="M542" s="80"/>
      <c r="N542" s="80"/>
      <c r="O542" s="80"/>
      <c r="P542" s="80"/>
      <c r="Q542" s="80"/>
      <c r="R542" s="80"/>
    </row>
    <row r="543">
      <c r="K543" s="80"/>
      <c r="L543" s="80"/>
      <c r="M543" s="80"/>
      <c r="N543" s="80"/>
      <c r="O543" s="80"/>
      <c r="P543" s="80"/>
      <c r="Q543" s="80"/>
      <c r="R543" s="80"/>
    </row>
    <row r="544">
      <c r="K544" s="80"/>
      <c r="L544" s="80"/>
      <c r="M544" s="80"/>
      <c r="N544" s="80"/>
      <c r="O544" s="80"/>
      <c r="P544" s="80"/>
      <c r="Q544" s="80"/>
      <c r="R544" s="80"/>
    </row>
    <row r="545">
      <c r="K545" s="80"/>
      <c r="L545" s="80"/>
      <c r="M545" s="80"/>
      <c r="N545" s="80"/>
      <c r="O545" s="80"/>
      <c r="P545" s="80"/>
      <c r="Q545" s="80"/>
      <c r="R545" s="80"/>
    </row>
    <row r="546">
      <c r="K546" s="80"/>
      <c r="L546" s="80"/>
      <c r="M546" s="80"/>
      <c r="N546" s="80"/>
      <c r="O546" s="80"/>
      <c r="P546" s="80"/>
      <c r="Q546" s="80"/>
      <c r="R546" s="80"/>
    </row>
    <row r="547">
      <c r="K547" s="80"/>
      <c r="L547" s="80"/>
      <c r="M547" s="80"/>
      <c r="N547" s="80"/>
      <c r="O547" s="80"/>
      <c r="P547" s="80"/>
      <c r="Q547" s="80"/>
      <c r="R547" s="80"/>
    </row>
    <row r="548">
      <c r="K548" s="80"/>
      <c r="L548" s="80"/>
      <c r="M548" s="80"/>
      <c r="N548" s="80"/>
      <c r="O548" s="80"/>
      <c r="P548" s="80"/>
      <c r="Q548" s="80"/>
      <c r="R548" s="80"/>
    </row>
    <row r="549">
      <c r="K549" s="80"/>
      <c r="L549" s="80"/>
      <c r="M549" s="80"/>
      <c r="N549" s="80"/>
      <c r="O549" s="80"/>
      <c r="P549" s="80"/>
      <c r="Q549" s="80"/>
      <c r="R549" s="80"/>
    </row>
    <row r="550">
      <c r="K550" s="80"/>
      <c r="L550" s="80"/>
      <c r="M550" s="80"/>
      <c r="N550" s="80"/>
      <c r="O550" s="80"/>
      <c r="P550" s="80"/>
      <c r="Q550" s="80"/>
      <c r="R550" s="80"/>
    </row>
    <row r="551">
      <c r="K551" s="80"/>
      <c r="L551" s="80"/>
      <c r="M551" s="80"/>
      <c r="N551" s="80"/>
      <c r="O551" s="80"/>
      <c r="P551" s="80"/>
      <c r="Q551" s="80"/>
      <c r="R551" s="80"/>
    </row>
    <row r="552">
      <c r="K552" s="80"/>
      <c r="L552" s="80"/>
      <c r="M552" s="80"/>
      <c r="N552" s="80"/>
      <c r="O552" s="80"/>
      <c r="P552" s="80"/>
      <c r="Q552" s="80"/>
      <c r="R552" s="80"/>
    </row>
    <row r="553">
      <c r="K553" s="80"/>
      <c r="L553" s="80"/>
      <c r="M553" s="80"/>
      <c r="N553" s="80"/>
      <c r="O553" s="80"/>
      <c r="P553" s="80"/>
      <c r="Q553" s="80"/>
      <c r="R553" s="80"/>
    </row>
    <row r="554">
      <c r="K554" s="80"/>
      <c r="L554" s="80"/>
      <c r="M554" s="80"/>
      <c r="N554" s="80"/>
      <c r="O554" s="80"/>
      <c r="P554" s="80"/>
      <c r="Q554" s="80"/>
      <c r="R554" s="80"/>
    </row>
    <row r="555">
      <c r="K555" s="80"/>
      <c r="L555" s="80"/>
      <c r="M555" s="80"/>
      <c r="N555" s="80"/>
      <c r="O555" s="80"/>
      <c r="P555" s="80"/>
      <c r="Q555" s="80"/>
      <c r="R555" s="80"/>
    </row>
    <row r="556">
      <c r="K556" s="80"/>
      <c r="L556" s="80"/>
      <c r="M556" s="80"/>
      <c r="N556" s="80"/>
      <c r="O556" s="80"/>
      <c r="P556" s="80"/>
      <c r="Q556" s="80"/>
      <c r="R556" s="80"/>
    </row>
    <row r="557">
      <c r="K557" s="80"/>
      <c r="L557" s="80"/>
      <c r="M557" s="80"/>
      <c r="N557" s="80"/>
      <c r="O557" s="80"/>
      <c r="P557" s="80"/>
      <c r="Q557" s="80"/>
      <c r="R557" s="80"/>
    </row>
    <row r="558">
      <c r="K558" s="80"/>
      <c r="L558" s="80"/>
      <c r="M558" s="80"/>
      <c r="N558" s="80"/>
      <c r="O558" s="80"/>
      <c r="P558" s="80"/>
      <c r="Q558" s="80"/>
      <c r="R558" s="80"/>
    </row>
    <row r="559">
      <c r="K559" s="80"/>
      <c r="L559" s="80"/>
      <c r="M559" s="80"/>
      <c r="N559" s="80"/>
      <c r="O559" s="80"/>
      <c r="P559" s="80"/>
      <c r="Q559" s="80"/>
      <c r="R559" s="80"/>
    </row>
    <row r="560">
      <c r="K560" s="80"/>
      <c r="L560" s="80"/>
      <c r="M560" s="80"/>
      <c r="N560" s="80"/>
      <c r="O560" s="80"/>
      <c r="P560" s="80"/>
      <c r="Q560" s="80"/>
      <c r="R560" s="80"/>
    </row>
    <row r="561">
      <c r="K561" s="80"/>
      <c r="L561" s="80"/>
      <c r="M561" s="80"/>
      <c r="N561" s="80"/>
      <c r="O561" s="80"/>
      <c r="P561" s="80"/>
      <c r="Q561" s="80"/>
      <c r="R561" s="80"/>
    </row>
    <row r="562">
      <c r="K562" s="80"/>
      <c r="L562" s="80"/>
      <c r="M562" s="80"/>
      <c r="N562" s="80"/>
      <c r="O562" s="80"/>
      <c r="P562" s="80"/>
      <c r="Q562" s="80"/>
      <c r="R562" s="80"/>
    </row>
    <row r="563">
      <c r="K563" s="80"/>
      <c r="L563" s="80"/>
      <c r="M563" s="80"/>
      <c r="N563" s="80"/>
      <c r="O563" s="80"/>
      <c r="P563" s="80"/>
      <c r="Q563" s="80"/>
      <c r="R563" s="80"/>
    </row>
    <row r="564">
      <c r="K564" s="80"/>
      <c r="L564" s="80"/>
      <c r="M564" s="80"/>
      <c r="N564" s="80"/>
      <c r="O564" s="80"/>
      <c r="P564" s="80"/>
      <c r="Q564" s="80"/>
      <c r="R564" s="80"/>
    </row>
    <row r="565">
      <c r="K565" s="80"/>
      <c r="L565" s="80"/>
      <c r="M565" s="80"/>
      <c r="N565" s="80"/>
      <c r="O565" s="80"/>
      <c r="P565" s="80"/>
      <c r="Q565" s="80"/>
      <c r="R565" s="80"/>
    </row>
    <row r="566">
      <c r="K566" s="80"/>
      <c r="L566" s="80"/>
      <c r="M566" s="80"/>
      <c r="N566" s="80"/>
      <c r="O566" s="80"/>
      <c r="P566" s="80"/>
      <c r="Q566" s="80"/>
      <c r="R566" s="80"/>
    </row>
    <row r="567">
      <c r="K567" s="80"/>
      <c r="L567" s="80"/>
      <c r="M567" s="80"/>
      <c r="N567" s="80"/>
      <c r="O567" s="80"/>
      <c r="P567" s="80"/>
      <c r="Q567" s="80"/>
      <c r="R567" s="80"/>
    </row>
    <row r="568">
      <c r="K568" s="80"/>
      <c r="L568" s="80"/>
      <c r="M568" s="80"/>
      <c r="N568" s="80"/>
      <c r="O568" s="80"/>
      <c r="P568" s="80"/>
      <c r="Q568" s="80"/>
      <c r="R568" s="80"/>
    </row>
    <row r="569">
      <c r="K569" s="80"/>
      <c r="L569" s="80"/>
      <c r="M569" s="80"/>
      <c r="N569" s="80"/>
      <c r="O569" s="80"/>
      <c r="P569" s="80"/>
      <c r="Q569" s="80"/>
      <c r="R569" s="80"/>
    </row>
    <row r="570">
      <c r="K570" s="80"/>
      <c r="L570" s="80"/>
      <c r="M570" s="80"/>
      <c r="N570" s="80"/>
      <c r="O570" s="80"/>
      <c r="P570" s="80"/>
      <c r="Q570" s="80"/>
      <c r="R570" s="80"/>
    </row>
    <row r="571">
      <c r="K571" s="80"/>
      <c r="L571" s="80"/>
      <c r="M571" s="80"/>
      <c r="N571" s="80"/>
      <c r="O571" s="80"/>
      <c r="P571" s="80"/>
      <c r="Q571" s="80"/>
      <c r="R571" s="80"/>
    </row>
    <row r="572">
      <c r="K572" s="80"/>
      <c r="L572" s="80"/>
      <c r="M572" s="80"/>
      <c r="N572" s="80"/>
      <c r="O572" s="80"/>
      <c r="P572" s="80"/>
      <c r="Q572" s="80"/>
      <c r="R572" s="80"/>
    </row>
    <row r="573">
      <c r="K573" s="80"/>
      <c r="L573" s="80"/>
      <c r="M573" s="80"/>
      <c r="N573" s="80"/>
      <c r="O573" s="80"/>
      <c r="P573" s="80"/>
      <c r="Q573" s="80"/>
      <c r="R573" s="80"/>
    </row>
    <row r="574">
      <c r="K574" s="80"/>
      <c r="L574" s="80"/>
      <c r="M574" s="80"/>
      <c r="N574" s="80"/>
      <c r="O574" s="80"/>
      <c r="P574" s="80"/>
      <c r="Q574" s="80"/>
      <c r="R574" s="80"/>
    </row>
    <row r="575">
      <c r="K575" s="80"/>
      <c r="L575" s="80"/>
      <c r="M575" s="80"/>
      <c r="N575" s="80"/>
      <c r="O575" s="80"/>
      <c r="P575" s="80"/>
      <c r="Q575" s="80"/>
      <c r="R575" s="80"/>
    </row>
    <row r="576">
      <c r="K576" s="80"/>
      <c r="L576" s="80"/>
      <c r="M576" s="80"/>
      <c r="N576" s="80"/>
      <c r="O576" s="80"/>
      <c r="P576" s="80"/>
      <c r="Q576" s="80"/>
      <c r="R576" s="80"/>
    </row>
    <row r="577">
      <c r="K577" s="80"/>
      <c r="L577" s="80"/>
      <c r="M577" s="80"/>
      <c r="N577" s="80"/>
      <c r="O577" s="80"/>
      <c r="P577" s="80"/>
      <c r="Q577" s="80"/>
      <c r="R577" s="80"/>
    </row>
    <row r="578">
      <c r="K578" s="80"/>
      <c r="L578" s="80"/>
      <c r="M578" s="80"/>
      <c r="N578" s="80"/>
      <c r="O578" s="80"/>
      <c r="P578" s="80"/>
      <c r="Q578" s="80"/>
      <c r="R578" s="80"/>
    </row>
    <row r="579">
      <c r="K579" s="80"/>
      <c r="L579" s="80"/>
      <c r="M579" s="80"/>
      <c r="N579" s="80"/>
      <c r="O579" s="80"/>
      <c r="P579" s="80"/>
      <c r="Q579" s="80"/>
      <c r="R579" s="80"/>
    </row>
    <row r="580">
      <c r="K580" s="80"/>
      <c r="L580" s="80"/>
      <c r="M580" s="80"/>
      <c r="N580" s="80"/>
      <c r="O580" s="80"/>
      <c r="P580" s="80"/>
      <c r="Q580" s="80"/>
      <c r="R580" s="80"/>
    </row>
    <row r="581">
      <c r="K581" s="80"/>
      <c r="L581" s="80"/>
      <c r="M581" s="80"/>
      <c r="N581" s="80"/>
      <c r="O581" s="80"/>
      <c r="P581" s="80"/>
      <c r="Q581" s="80"/>
      <c r="R581" s="80"/>
    </row>
    <row r="582">
      <c r="K582" s="80"/>
      <c r="L582" s="80"/>
      <c r="M582" s="80"/>
      <c r="N582" s="80"/>
      <c r="O582" s="80"/>
      <c r="P582" s="80"/>
      <c r="Q582" s="80"/>
      <c r="R582" s="80"/>
    </row>
    <row r="583">
      <c r="K583" s="80"/>
      <c r="L583" s="80"/>
      <c r="M583" s="80"/>
      <c r="N583" s="80"/>
      <c r="O583" s="80"/>
      <c r="P583" s="80"/>
      <c r="Q583" s="80"/>
      <c r="R583" s="80"/>
    </row>
    <row r="584">
      <c r="K584" s="80"/>
      <c r="L584" s="80"/>
      <c r="M584" s="80"/>
      <c r="N584" s="80"/>
      <c r="O584" s="80"/>
      <c r="P584" s="80"/>
      <c r="Q584" s="80"/>
      <c r="R584" s="80"/>
    </row>
    <row r="585">
      <c r="K585" s="80"/>
      <c r="L585" s="80"/>
      <c r="M585" s="80"/>
      <c r="N585" s="80"/>
      <c r="O585" s="80"/>
      <c r="P585" s="80"/>
      <c r="Q585" s="80"/>
      <c r="R585" s="80"/>
    </row>
    <row r="586">
      <c r="K586" s="80"/>
      <c r="L586" s="80"/>
      <c r="M586" s="80"/>
      <c r="N586" s="80"/>
      <c r="O586" s="80"/>
      <c r="P586" s="80"/>
      <c r="Q586" s="80"/>
      <c r="R586" s="80"/>
    </row>
    <row r="587">
      <c r="K587" s="80"/>
      <c r="L587" s="80"/>
      <c r="M587" s="80"/>
      <c r="N587" s="80"/>
      <c r="O587" s="80"/>
      <c r="P587" s="80"/>
      <c r="Q587" s="80"/>
      <c r="R587" s="80"/>
    </row>
    <row r="588">
      <c r="K588" s="80"/>
      <c r="L588" s="80"/>
      <c r="M588" s="80"/>
      <c r="N588" s="80"/>
      <c r="O588" s="80"/>
      <c r="P588" s="80"/>
      <c r="Q588" s="80"/>
      <c r="R588" s="80"/>
    </row>
    <row r="589">
      <c r="K589" s="80"/>
      <c r="L589" s="80"/>
      <c r="M589" s="80"/>
      <c r="N589" s="80"/>
      <c r="O589" s="80"/>
      <c r="P589" s="80"/>
      <c r="Q589" s="80"/>
      <c r="R589" s="80"/>
    </row>
    <row r="590">
      <c r="K590" s="80"/>
      <c r="L590" s="80"/>
      <c r="M590" s="80"/>
      <c r="N590" s="80"/>
      <c r="O590" s="80"/>
      <c r="P590" s="80"/>
      <c r="Q590" s="80"/>
      <c r="R590" s="80"/>
    </row>
    <row r="591">
      <c r="K591" s="80"/>
      <c r="L591" s="80"/>
      <c r="M591" s="80"/>
      <c r="N591" s="80"/>
      <c r="O591" s="80"/>
      <c r="P591" s="80"/>
      <c r="Q591" s="80"/>
      <c r="R591" s="80"/>
    </row>
    <row r="592">
      <c r="K592" s="80"/>
      <c r="L592" s="80"/>
      <c r="M592" s="80"/>
      <c r="N592" s="80"/>
      <c r="O592" s="80"/>
      <c r="P592" s="80"/>
      <c r="Q592" s="80"/>
      <c r="R592" s="80"/>
    </row>
    <row r="593">
      <c r="K593" s="80"/>
      <c r="L593" s="80"/>
      <c r="M593" s="80"/>
      <c r="N593" s="80"/>
      <c r="O593" s="80"/>
      <c r="P593" s="80"/>
      <c r="Q593" s="80"/>
      <c r="R593" s="80"/>
    </row>
    <row r="594">
      <c r="K594" s="80"/>
      <c r="L594" s="80"/>
      <c r="M594" s="80"/>
      <c r="N594" s="80"/>
      <c r="O594" s="80"/>
      <c r="P594" s="80"/>
      <c r="Q594" s="80"/>
      <c r="R594" s="80"/>
    </row>
    <row r="595">
      <c r="K595" s="80"/>
      <c r="L595" s="80"/>
      <c r="M595" s="80"/>
      <c r="N595" s="80"/>
      <c r="O595" s="80"/>
      <c r="P595" s="80"/>
      <c r="Q595" s="80"/>
      <c r="R595" s="80"/>
    </row>
    <row r="596">
      <c r="K596" s="80"/>
      <c r="L596" s="80"/>
      <c r="M596" s="80"/>
      <c r="N596" s="80"/>
      <c r="O596" s="80"/>
      <c r="P596" s="80"/>
      <c r="Q596" s="80"/>
      <c r="R596" s="80"/>
    </row>
    <row r="597">
      <c r="K597" s="80"/>
      <c r="L597" s="80"/>
      <c r="M597" s="80"/>
      <c r="N597" s="80"/>
      <c r="O597" s="80"/>
      <c r="P597" s="80"/>
      <c r="Q597" s="80"/>
      <c r="R597" s="80"/>
    </row>
    <row r="598">
      <c r="K598" s="80"/>
      <c r="L598" s="80"/>
      <c r="M598" s="80"/>
      <c r="N598" s="80"/>
      <c r="O598" s="80"/>
      <c r="P598" s="80"/>
      <c r="Q598" s="80"/>
      <c r="R598" s="80"/>
    </row>
    <row r="599">
      <c r="K599" s="80"/>
      <c r="L599" s="80"/>
      <c r="M599" s="80"/>
      <c r="N599" s="80"/>
      <c r="O599" s="80"/>
      <c r="P599" s="80"/>
      <c r="Q599" s="80"/>
      <c r="R599" s="80"/>
    </row>
    <row r="600">
      <c r="K600" s="80"/>
      <c r="L600" s="80"/>
      <c r="M600" s="80"/>
      <c r="N600" s="80"/>
      <c r="O600" s="80"/>
      <c r="P600" s="80"/>
      <c r="Q600" s="80"/>
      <c r="R600" s="80"/>
    </row>
    <row r="601">
      <c r="K601" s="80"/>
      <c r="L601" s="80"/>
      <c r="M601" s="80"/>
      <c r="N601" s="80"/>
      <c r="O601" s="80"/>
      <c r="P601" s="80"/>
      <c r="Q601" s="80"/>
      <c r="R601" s="80"/>
    </row>
    <row r="602">
      <c r="K602" s="80"/>
      <c r="L602" s="80"/>
      <c r="M602" s="80"/>
      <c r="N602" s="80"/>
      <c r="O602" s="80"/>
      <c r="P602" s="80"/>
      <c r="Q602" s="80"/>
      <c r="R602" s="80"/>
    </row>
    <row r="603">
      <c r="K603" s="80"/>
      <c r="L603" s="80"/>
      <c r="M603" s="80"/>
      <c r="N603" s="80"/>
      <c r="O603" s="80"/>
      <c r="P603" s="80"/>
      <c r="Q603" s="80"/>
      <c r="R603" s="80"/>
    </row>
    <row r="604">
      <c r="K604" s="80"/>
      <c r="L604" s="80"/>
      <c r="M604" s="80"/>
      <c r="N604" s="80"/>
      <c r="O604" s="80"/>
      <c r="P604" s="80"/>
      <c r="Q604" s="80"/>
      <c r="R604" s="80"/>
    </row>
    <row r="605">
      <c r="K605" s="80"/>
      <c r="L605" s="80"/>
      <c r="M605" s="80"/>
      <c r="N605" s="80"/>
      <c r="O605" s="80"/>
      <c r="P605" s="80"/>
      <c r="Q605" s="80"/>
      <c r="R605" s="80"/>
    </row>
    <row r="606">
      <c r="K606" s="80"/>
      <c r="L606" s="80"/>
      <c r="M606" s="80"/>
      <c r="N606" s="80"/>
      <c r="O606" s="80"/>
      <c r="P606" s="80"/>
      <c r="Q606" s="80"/>
      <c r="R606" s="80"/>
    </row>
    <row r="607">
      <c r="K607" s="80"/>
      <c r="L607" s="80"/>
      <c r="M607" s="80"/>
      <c r="N607" s="80"/>
      <c r="O607" s="80"/>
      <c r="P607" s="80"/>
      <c r="Q607" s="80"/>
      <c r="R607" s="80"/>
    </row>
    <row r="608">
      <c r="K608" s="80"/>
      <c r="L608" s="80"/>
      <c r="M608" s="80"/>
      <c r="N608" s="80"/>
      <c r="O608" s="80"/>
      <c r="P608" s="80"/>
      <c r="Q608" s="80"/>
      <c r="R608" s="80"/>
    </row>
    <row r="609">
      <c r="K609" s="80"/>
      <c r="L609" s="80"/>
      <c r="M609" s="80"/>
      <c r="N609" s="80"/>
      <c r="O609" s="80"/>
      <c r="P609" s="80"/>
      <c r="Q609" s="80"/>
      <c r="R609" s="80"/>
    </row>
    <row r="610">
      <c r="K610" s="80"/>
      <c r="L610" s="80"/>
      <c r="M610" s="80"/>
      <c r="N610" s="80"/>
      <c r="O610" s="80"/>
      <c r="P610" s="80"/>
      <c r="Q610" s="80"/>
      <c r="R610" s="80"/>
    </row>
    <row r="611">
      <c r="K611" s="80"/>
      <c r="L611" s="80"/>
      <c r="M611" s="80"/>
      <c r="N611" s="80"/>
      <c r="O611" s="80"/>
      <c r="P611" s="80"/>
      <c r="Q611" s="80"/>
      <c r="R611" s="80"/>
    </row>
    <row r="612">
      <c r="K612" s="80"/>
      <c r="L612" s="80"/>
      <c r="M612" s="80"/>
      <c r="N612" s="80"/>
      <c r="O612" s="80"/>
      <c r="P612" s="80"/>
      <c r="Q612" s="80"/>
      <c r="R612" s="80"/>
    </row>
    <row r="613">
      <c r="K613" s="80"/>
      <c r="L613" s="80"/>
      <c r="M613" s="80"/>
      <c r="N613" s="80"/>
      <c r="O613" s="80"/>
      <c r="P613" s="80"/>
      <c r="Q613" s="80"/>
      <c r="R613" s="80"/>
    </row>
    <row r="614">
      <c r="K614" s="80"/>
      <c r="L614" s="80"/>
      <c r="M614" s="80"/>
      <c r="N614" s="80"/>
      <c r="O614" s="80"/>
      <c r="P614" s="80"/>
      <c r="Q614" s="80"/>
      <c r="R614" s="80"/>
    </row>
    <row r="615">
      <c r="K615" s="80"/>
      <c r="L615" s="80"/>
      <c r="M615" s="80"/>
      <c r="N615" s="80"/>
      <c r="O615" s="80"/>
      <c r="P615" s="80"/>
      <c r="Q615" s="80"/>
      <c r="R615" s="80"/>
    </row>
    <row r="616">
      <c r="K616" s="80"/>
      <c r="L616" s="80"/>
      <c r="M616" s="80"/>
      <c r="N616" s="80"/>
      <c r="O616" s="80"/>
      <c r="P616" s="80"/>
      <c r="Q616" s="80"/>
      <c r="R616" s="80"/>
    </row>
    <row r="617">
      <c r="K617" s="80"/>
      <c r="L617" s="80"/>
      <c r="M617" s="80"/>
      <c r="N617" s="80"/>
      <c r="O617" s="80"/>
      <c r="P617" s="80"/>
      <c r="Q617" s="80"/>
      <c r="R617" s="80"/>
    </row>
    <row r="618">
      <c r="K618" s="80"/>
      <c r="L618" s="80"/>
      <c r="M618" s="80"/>
      <c r="N618" s="80"/>
      <c r="O618" s="80"/>
      <c r="P618" s="80"/>
      <c r="Q618" s="80"/>
      <c r="R618" s="80"/>
    </row>
    <row r="619">
      <c r="K619" s="80"/>
      <c r="L619" s="80"/>
      <c r="M619" s="80"/>
      <c r="N619" s="80"/>
      <c r="O619" s="80"/>
      <c r="P619" s="80"/>
      <c r="Q619" s="80"/>
      <c r="R619" s="80"/>
    </row>
    <row r="620">
      <c r="K620" s="80"/>
      <c r="L620" s="80"/>
      <c r="M620" s="80"/>
      <c r="N620" s="80"/>
      <c r="O620" s="80"/>
      <c r="P620" s="80"/>
      <c r="Q620" s="80"/>
      <c r="R620" s="80"/>
    </row>
    <row r="621">
      <c r="K621" s="80"/>
      <c r="L621" s="80"/>
      <c r="M621" s="80"/>
      <c r="N621" s="80"/>
      <c r="O621" s="80"/>
      <c r="P621" s="80"/>
      <c r="Q621" s="80"/>
      <c r="R621" s="80"/>
    </row>
    <row r="622">
      <c r="K622" s="80"/>
      <c r="L622" s="80"/>
      <c r="M622" s="80"/>
      <c r="N622" s="80"/>
      <c r="O622" s="80"/>
      <c r="P622" s="80"/>
      <c r="Q622" s="80"/>
      <c r="R622" s="80"/>
    </row>
    <row r="623">
      <c r="K623" s="80"/>
      <c r="L623" s="80"/>
      <c r="M623" s="80"/>
      <c r="N623" s="80"/>
      <c r="O623" s="80"/>
      <c r="P623" s="80"/>
      <c r="Q623" s="80"/>
      <c r="R623" s="80"/>
    </row>
    <row r="624">
      <c r="K624" s="80"/>
      <c r="L624" s="80"/>
      <c r="M624" s="80"/>
      <c r="N624" s="80"/>
      <c r="O624" s="80"/>
      <c r="P624" s="80"/>
      <c r="Q624" s="80"/>
      <c r="R624" s="80"/>
    </row>
    <row r="625">
      <c r="K625" s="80"/>
      <c r="L625" s="80"/>
      <c r="M625" s="80"/>
      <c r="N625" s="80"/>
      <c r="O625" s="80"/>
      <c r="P625" s="80"/>
      <c r="Q625" s="80"/>
      <c r="R625" s="80"/>
    </row>
    <row r="626">
      <c r="K626" s="80"/>
      <c r="L626" s="80"/>
      <c r="M626" s="80"/>
      <c r="N626" s="80"/>
      <c r="O626" s="80"/>
      <c r="P626" s="80"/>
      <c r="Q626" s="80"/>
      <c r="R626" s="80"/>
    </row>
    <row r="627">
      <c r="K627" s="80"/>
      <c r="L627" s="80"/>
      <c r="M627" s="80"/>
      <c r="N627" s="80"/>
      <c r="O627" s="80"/>
      <c r="P627" s="80"/>
      <c r="Q627" s="80"/>
      <c r="R627" s="80"/>
    </row>
    <row r="628">
      <c r="K628" s="80"/>
      <c r="L628" s="80"/>
      <c r="M628" s="80"/>
      <c r="N628" s="80"/>
      <c r="O628" s="80"/>
      <c r="P628" s="80"/>
      <c r="Q628" s="80"/>
      <c r="R628" s="80"/>
    </row>
    <row r="629">
      <c r="K629" s="80"/>
      <c r="L629" s="80"/>
      <c r="M629" s="80"/>
      <c r="N629" s="80"/>
      <c r="O629" s="80"/>
      <c r="P629" s="80"/>
      <c r="Q629" s="80"/>
      <c r="R629" s="80"/>
    </row>
    <row r="630">
      <c r="K630" s="80"/>
      <c r="L630" s="80"/>
      <c r="M630" s="80"/>
      <c r="N630" s="80"/>
      <c r="O630" s="80"/>
      <c r="P630" s="80"/>
      <c r="Q630" s="80"/>
      <c r="R630" s="80"/>
    </row>
    <row r="631">
      <c r="K631" s="80"/>
      <c r="L631" s="80"/>
      <c r="M631" s="80"/>
      <c r="N631" s="80"/>
      <c r="O631" s="80"/>
      <c r="P631" s="80"/>
      <c r="Q631" s="80"/>
      <c r="R631" s="80"/>
    </row>
    <row r="632">
      <c r="K632" s="80"/>
      <c r="L632" s="80"/>
      <c r="M632" s="80"/>
      <c r="N632" s="80"/>
      <c r="O632" s="80"/>
      <c r="P632" s="80"/>
      <c r="Q632" s="80"/>
      <c r="R632" s="80"/>
    </row>
    <row r="633">
      <c r="K633" s="80"/>
      <c r="L633" s="80"/>
      <c r="M633" s="80"/>
      <c r="N633" s="80"/>
      <c r="O633" s="80"/>
      <c r="P633" s="80"/>
      <c r="Q633" s="80"/>
      <c r="R633" s="80"/>
    </row>
    <row r="634">
      <c r="K634" s="80"/>
      <c r="L634" s="80"/>
      <c r="M634" s="80"/>
      <c r="N634" s="80"/>
      <c r="O634" s="80"/>
      <c r="P634" s="80"/>
      <c r="Q634" s="80"/>
      <c r="R634" s="80"/>
    </row>
    <row r="635">
      <c r="K635" s="80"/>
      <c r="L635" s="80"/>
      <c r="M635" s="80"/>
      <c r="N635" s="80"/>
      <c r="O635" s="80"/>
      <c r="P635" s="80"/>
      <c r="Q635" s="80"/>
      <c r="R635" s="80"/>
    </row>
    <row r="636">
      <c r="K636" s="80"/>
      <c r="L636" s="80"/>
      <c r="M636" s="80"/>
      <c r="N636" s="80"/>
      <c r="O636" s="80"/>
      <c r="P636" s="80"/>
      <c r="Q636" s="80"/>
      <c r="R636" s="80"/>
    </row>
    <row r="637">
      <c r="K637" s="80"/>
      <c r="L637" s="80"/>
      <c r="M637" s="80"/>
      <c r="N637" s="80"/>
      <c r="O637" s="80"/>
      <c r="P637" s="80"/>
      <c r="Q637" s="80"/>
      <c r="R637" s="80"/>
    </row>
    <row r="638">
      <c r="K638" s="80"/>
      <c r="L638" s="80"/>
      <c r="M638" s="80"/>
      <c r="N638" s="80"/>
      <c r="O638" s="80"/>
      <c r="P638" s="80"/>
      <c r="Q638" s="80"/>
      <c r="R638" s="80"/>
    </row>
    <row r="639">
      <c r="K639" s="80"/>
      <c r="L639" s="80"/>
      <c r="M639" s="80"/>
      <c r="N639" s="80"/>
      <c r="O639" s="80"/>
      <c r="P639" s="80"/>
      <c r="Q639" s="80"/>
      <c r="R639" s="80"/>
    </row>
    <row r="640">
      <c r="K640" s="80"/>
      <c r="L640" s="80"/>
      <c r="M640" s="80"/>
      <c r="N640" s="80"/>
      <c r="O640" s="80"/>
      <c r="P640" s="80"/>
      <c r="Q640" s="80"/>
      <c r="R640" s="80"/>
    </row>
    <row r="641">
      <c r="K641" s="80"/>
      <c r="L641" s="80"/>
      <c r="M641" s="80"/>
      <c r="N641" s="80"/>
      <c r="O641" s="80"/>
      <c r="P641" s="80"/>
      <c r="Q641" s="80"/>
      <c r="R641" s="80"/>
    </row>
    <row r="642">
      <c r="K642" s="80"/>
      <c r="L642" s="80"/>
      <c r="M642" s="80"/>
      <c r="N642" s="80"/>
      <c r="O642" s="80"/>
      <c r="P642" s="80"/>
      <c r="Q642" s="80"/>
      <c r="R642" s="80"/>
    </row>
    <row r="643">
      <c r="K643" s="80"/>
      <c r="L643" s="80"/>
      <c r="M643" s="80"/>
      <c r="N643" s="80"/>
      <c r="O643" s="80"/>
      <c r="P643" s="80"/>
      <c r="Q643" s="80"/>
      <c r="R643" s="80"/>
    </row>
    <row r="644">
      <c r="K644" s="80"/>
      <c r="L644" s="80"/>
      <c r="M644" s="80"/>
      <c r="N644" s="80"/>
      <c r="O644" s="80"/>
      <c r="P644" s="80"/>
      <c r="Q644" s="80"/>
      <c r="R644" s="80"/>
    </row>
    <row r="645">
      <c r="K645" s="80"/>
      <c r="L645" s="80"/>
      <c r="M645" s="80"/>
      <c r="N645" s="80"/>
      <c r="O645" s="80"/>
      <c r="P645" s="80"/>
      <c r="Q645" s="80"/>
      <c r="R645" s="80"/>
    </row>
    <row r="646">
      <c r="K646" s="80"/>
      <c r="L646" s="80"/>
      <c r="M646" s="80"/>
      <c r="N646" s="80"/>
      <c r="O646" s="80"/>
      <c r="P646" s="80"/>
      <c r="Q646" s="80"/>
      <c r="R646" s="80"/>
    </row>
    <row r="647">
      <c r="K647" s="80"/>
      <c r="L647" s="80"/>
      <c r="M647" s="80"/>
      <c r="N647" s="80"/>
      <c r="O647" s="80"/>
      <c r="P647" s="80"/>
      <c r="Q647" s="80"/>
      <c r="R647" s="80"/>
    </row>
    <row r="648">
      <c r="K648" s="80"/>
      <c r="L648" s="80"/>
      <c r="M648" s="80"/>
      <c r="N648" s="80"/>
      <c r="O648" s="80"/>
      <c r="P648" s="80"/>
      <c r="Q648" s="80"/>
      <c r="R648" s="80"/>
    </row>
    <row r="649">
      <c r="K649" s="80"/>
      <c r="L649" s="80"/>
      <c r="M649" s="80"/>
      <c r="N649" s="80"/>
      <c r="O649" s="80"/>
      <c r="P649" s="80"/>
      <c r="Q649" s="80"/>
      <c r="R649" s="80"/>
    </row>
    <row r="650">
      <c r="K650" s="80"/>
      <c r="L650" s="80"/>
      <c r="M650" s="80"/>
      <c r="N650" s="80"/>
      <c r="O650" s="80"/>
      <c r="P650" s="80"/>
      <c r="Q650" s="80"/>
      <c r="R650" s="80"/>
    </row>
    <row r="651">
      <c r="K651" s="80"/>
      <c r="L651" s="80"/>
      <c r="M651" s="80"/>
      <c r="N651" s="80"/>
      <c r="O651" s="80"/>
      <c r="P651" s="80"/>
      <c r="Q651" s="80"/>
      <c r="R651" s="80"/>
    </row>
    <row r="652">
      <c r="K652" s="80"/>
      <c r="L652" s="80"/>
      <c r="M652" s="80"/>
      <c r="N652" s="80"/>
      <c r="O652" s="80"/>
      <c r="P652" s="80"/>
      <c r="Q652" s="80"/>
      <c r="R652" s="80"/>
    </row>
    <row r="653">
      <c r="K653" s="80"/>
      <c r="L653" s="80"/>
      <c r="M653" s="80"/>
      <c r="N653" s="80"/>
      <c r="O653" s="80"/>
      <c r="P653" s="80"/>
      <c r="Q653" s="80"/>
      <c r="R653" s="80"/>
    </row>
    <row r="654">
      <c r="K654" s="80"/>
      <c r="L654" s="80"/>
      <c r="M654" s="80"/>
      <c r="N654" s="80"/>
      <c r="O654" s="80"/>
      <c r="P654" s="80"/>
      <c r="Q654" s="80"/>
      <c r="R654" s="80"/>
    </row>
    <row r="655">
      <c r="K655" s="80"/>
      <c r="L655" s="80"/>
      <c r="M655" s="80"/>
      <c r="N655" s="80"/>
      <c r="O655" s="80"/>
      <c r="P655" s="80"/>
      <c r="Q655" s="80"/>
      <c r="R655" s="80"/>
    </row>
    <row r="656">
      <c r="K656" s="80"/>
      <c r="L656" s="80"/>
      <c r="M656" s="80"/>
      <c r="N656" s="80"/>
      <c r="O656" s="80"/>
      <c r="P656" s="80"/>
      <c r="Q656" s="80"/>
      <c r="R656" s="80"/>
    </row>
    <row r="657">
      <c r="K657" s="80"/>
      <c r="L657" s="80"/>
      <c r="M657" s="80"/>
      <c r="N657" s="80"/>
      <c r="O657" s="80"/>
      <c r="P657" s="80"/>
      <c r="Q657" s="80"/>
      <c r="R657" s="80"/>
    </row>
    <row r="658">
      <c r="K658" s="80"/>
      <c r="L658" s="80"/>
      <c r="M658" s="80"/>
      <c r="N658" s="80"/>
      <c r="O658" s="80"/>
      <c r="P658" s="80"/>
      <c r="Q658" s="80"/>
      <c r="R658" s="80"/>
    </row>
    <row r="659">
      <c r="K659" s="80"/>
      <c r="L659" s="80"/>
      <c r="M659" s="80"/>
      <c r="N659" s="80"/>
      <c r="O659" s="80"/>
      <c r="P659" s="80"/>
      <c r="Q659" s="80"/>
      <c r="R659" s="80"/>
    </row>
    <row r="660">
      <c r="K660" s="80"/>
      <c r="L660" s="80"/>
      <c r="M660" s="80"/>
      <c r="N660" s="80"/>
      <c r="O660" s="80"/>
      <c r="P660" s="80"/>
      <c r="Q660" s="80"/>
      <c r="R660" s="80"/>
    </row>
    <row r="661">
      <c r="K661" s="80"/>
      <c r="L661" s="80"/>
      <c r="M661" s="80"/>
      <c r="N661" s="80"/>
      <c r="O661" s="80"/>
      <c r="P661" s="80"/>
      <c r="Q661" s="80"/>
      <c r="R661" s="80"/>
    </row>
    <row r="662">
      <c r="K662" s="80"/>
      <c r="L662" s="80"/>
      <c r="M662" s="80"/>
      <c r="N662" s="80"/>
      <c r="O662" s="80"/>
      <c r="P662" s="80"/>
      <c r="Q662" s="80"/>
      <c r="R662" s="80"/>
    </row>
    <row r="663">
      <c r="K663" s="80"/>
      <c r="L663" s="80"/>
      <c r="M663" s="80"/>
      <c r="N663" s="80"/>
      <c r="O663" s="80"/>
      <c r="P663" s="80"/>
      <c r="Q663" s="80"/>
      <c r="R663" s="80"/>
    </row>
    <row r="664">
      <c r="K664" s="80"/>
      <c r="L664" s="80"/>
      <c r="M664" s="80"/>
      <c r="N664" s="80"/>
      <c r="O664" s="80"/>
      <c r="P664" s="80"/>
      <c r="Q664" s="80"/>
      <c r="R664" s="80"/>
    </row>
    <row r="665">
      <c r="K665" s="80"/>
      <c r="L665" s="80"/>
      <c r="M665" s="80"/>
      <c r="N665" s="80"/>
      <c r="O665" s="80"/>
      <c r="P665" s="80"/>
      <c r="Q665" s="80"/>
      <c r="R665" s="80"/>
    </row>
    <row r="666">
      <c r="K666" s="80"/>
      <c r="L666" s="80"/>
      <c r="M666" s="80"/>
      <c r="N666" s="80"/>
      <c r="O666" s="80"/>
      <c r="P666" s="80"/>
      <c r="Q666" s="80"/>
      <c r="R666" s="80"/>
    </row>
    <row r="667">
      <c r="K667" s="80"/>
      <c r="L667" s="80"/>
      <c r="M667" s="80"/>
      <c r="N667" s="80"/>
      <c r="O667" s="80"/>
      <c r="P667" s="80"/>
      <c r="Q667" s="80"/>
      <c r="R667" s="80"/>
    </row>
    <row r="668">
      <c r="K668" s="80"/>
      <c r="L668" s="80"/>
      <c r="M668" s="80"/>
      <c r="N668" s="80"/>
      <c r="O668" s="80"/>
      <c r="P668" s="80"/>
      <c r="Q668" s="80"/>
      <c r="R668" s="80"/>
    </row>
    <row r="669">
      <c r="K669" s="80"/>
      <c r="L669" s="80"/>
      <c r="M669" s="80"/>
      <c r="N669" s="80"/>
      <c r="O669" s="80"/>
      <c r="P669" s="80"/>
      <c r="Q669" s="80"/>
      <c r="R669" s="80"/>
    </row>
    <row r="670">
      <c r="K670" s="80"/>
      <c r="L670" s="80"/>
      <c r="M670" s="80"/>
      <c r="N670" s="80"/>
      <c r="O670" s="80"/>
      <c r="P670" s="80"/>
      <c r="Q670" s="80"/>
      <c r="R670" s="80"/>
    </row>
    <row r="671">
      <c r="K671" s="80"/>
      <c r="L671" s="80"/>
      <c r="M671" s="80"/>
      <c r="N671" s="80"/>
      <c r="O671" s="80"/>
      <c r="P671" s="80"/>
      <c r="Q671" s="80"/>
      <c r="R671" s="80"/>
    </row>
    <row r="672">
      <c r="K672" s="80"/>
      <c r="L672" s="80"/>
      <c r="M672" s="80"/>
      <c r="N672" s="80"/>
      <c r="O672" s="80"/>
      <c r="P672" s="80"/>
      <c r="Q672" s="80"/>
      <c r="R672" s="80"/>
    </row>
    <row r="673">
      <c r="K673" s="80"/>
      <c r="L673" s="80"/>
      <c r="M673" s="80"/>
      <c r="N673" s="80"/>
      <c r="O673" s="80"/>
      <c r="P673" s="80"/>
      <c r="Q673" s="80"/>
      <c r="R673" s="80"/>
    </row>
    <row r="674">
      <c r="K674" s="80"/>
      <c r="L674" s="80"/>
      <c r="M674" s="80"/>
      <c r="N674" s="80"/>
      <c r="O674" s="80"/>
      <c r="P674" s="80"/>
      <c r="Q674" s="80"/>
      <c r="R674" s="80"/>
    </row>
    <row r="675">
      <c r="K675" s="80"/>
      <c r="L675" s="80"/>
      <c r="M675" s="80"/>
      <c r="N675" s="80"/>
      <c r="O675" s="80"/>
      <c r="P675" s="80"/>
      <c r="Q675" s="80"/>
      <c r="R675" s="80"/>
    </row>
    <row r="676">
      <c r="K676" s="80"/>
      <c r="L676" s="80"/>
      <c r="M676" s="80"/>
      <c r="N676" s="80"/>
      <c r="O676" s="80"/>
      <c r="P676" s="80"/>
      <c r="Q676" s="80"/>
      <c r="R676" s="80"/>
    </row>
    <row r="677">
      <c r="K677" s="80"/>
      <c r="L677" s="80"/>
      <c r="M677" s="80"/>
      <c r="N677" s="80"/>
      <c r="O677" s="80"/>
      <c r="P677" s="80"/>
      <c r="Q677" s="80"/>
      <c r="R677" s="80"/>
    </row>
    <row r="678">
      <c r="K678" s="80"/>
      <c r="L678" s="80"/>
      <c r="M678" s="80"/>
      <c r="N678" s="80"/>
      <c r="O678" s="80"/>
      <c r="P678" s="80"/>
      <c r="Q678" s="80"/>
      <c r="R678" s="80"/>
    </row>
    <row r="679">
      <c r="K679" s="80"/>
      <c r="L679" s="80"/>
      <c r="M679" s="80"/>
      <c r="N679" s="80"/>
      <c r="O679" s="80"/>
      <c r="P679" s="80"/>
      <c r="Q679" s="80"/>
      <c r="R679" s="80"/>
    </row>
    <row r="680">
      <c r="K680" s="80"/>
      <c r="L680" s="80"/>
      <c r="M680" s="80"/>
      <c r="N680" s="80"/>
      <c r="O680" s="80"/>
      <c r="P680" s="80"/>
      <c r="Q680" s="80"/>
      <c r="R680" s="80"/>
    </row>
    <row r="681">
      <c r="K681" s="80"/>
      <c r="L681" s="80"/>
      <c r="M681" s="80"/>
      <c r="N681" s="80"/>
      <c r="O681" s="80"/>
      <c r="P681" s="80"/>
      <c r="Q681" s="80"/>
      <c r="R681" s="80"/>
    </row>
    <row r="682">
      <c r="K682" s="80"/>
      <c r="L682" s="80"/>
      <c r="M682" s="80"/>
      <c r="N682" s="80"/>
      <c r="O682" s="80"/>
      <c r="P682" s="80"/>
      <c r="Q682" s="80"/>
      <c r="R682" s="80"/>
    </row>
    <row r="683">
      <c r="K683" s="80"/>
      <c r="L683" s="80"/>
      <c r="M683" s="80"/>
      <c r="N683" s="80"/>
      <c r="O683" s="80"/>
      <c r="P683" s="80"/>
      <c r="Q683" s="80"/>
      <c r="R683" s="80"/>
    </row>
    <row r="684">
      <c r="K684" s="80"/>
      <c r="L684" s="80"/>
      <c r="M684" s="80"/>
      <c r="N684" s="80"/>
      <c r="O684" s="80"/>
      <c r="P684" s="80"/>
      <c r="Q684" s="80"/>
      <c r="R684" s="80"/>
    </row>
    <row r="685">
      <c r="K685" s="80"/>
      <c r="L685" s="80"/>
      <c r="M685" s="80"/>
      <c r="N685" s="80"/>
      <c r="O685" s="80"/>
      <c r="P685" s="80"/>
      <c r="Q685" s="80"/>
      <c r="R685" s="80"/>
    </row>
    <row r="686">
      <c r="K686" s="80"/>
      <c r="L686" s="80"/>
      <c r="M686" s="80"/>
      <c r="N686" s="80"/>
      <c r="O686" s="80"/>
      <c r="P686" s="80"/>
      <c r="Q686" s="80"/>
      <c r="R686" s="80"/>
    </row>
    <row r="687">
      <c r="K687" s="80"/>
      <c r="L687" s="80"/>
      <c r="M687" s="80"/>
      <c r="N687" s="80"/>
      <c r="O687" s="80"/>
      <c r="P687" s="80"/>
      <c r="Q687" s="80"/>
      <c r="R687" s="80"/>
    </row>
    <row r="688">
      <c r="K688" s="80"/>
      <c r="L688" s="80"/>
      <c r="M688" s="80"/>
      <c r="N688" s="80"/>
      <c r="O688" s="80"/>
      <c r="P688" s="80"/>
      <c r="Q688" s="80"/>
      <c r="R688" s="80"/>
    </row>
    <row r="689">
      <c r="K689" s="80"/>
      <c r="L689" s="80"/>
      <c r="M689" s="80"/>
      <c r="N689" s="80"/>
      <c r="O689" s="80"/>
      <c r="P689" s="80"/>
      <c r="Q689" s="80"/>
      <c r="R689" s="80"/>
    </row>
    <row r="690">
      <c r="K690" s="80"/>
      <c r="L690" s="80"/>
      <c r="M690" s="80"/>
      <c r="N690" s="80"/>
      <c r="O690" s="80"/>
      <c r="P690" s="80"/>
      <c r="Q690" s="80"/>
      <c r="R690" s="80"/>
    </row>
    <row r="691">
      <c r="K691" s="80"/>
      <c r="L691" s="80"/>
      <c r="M691" s="80"/>
      <c r="N691" s="80"/>
      <c r="O691" s="80"/>
      <c r="P691" s="80"/>
      <c r="Q691" s="80"/>
      <c r="R691" s="80"/>
    </row>
    <row r="692">
      <c r="K692" s="80"/>
      <c r="L692" s="80"/>
      <c r="M692" s="80"/>
      <c r="N692" s="80"/>
      <c r="O692" s="80"/>
      <c r="P692" s="80"/>
      <c r="Q692" s="80"/>
      <c r="R692" s="80"/>
    </row>
    <row r="693">
      <c r="K693" s="80"/>
      <c r="L693" s="80"/>
      <c r="M693" s="80"/>
      <c r="N693" s="80"/>
      <c r="O693" s="80"/>
      <c r="P693" s="80"/>
      <c r="Q693" s="80"/>
      <c r="R693" s="80"/>
    </row>
    <row r="694">
      <c r="K694" s="80"/>
      <c r="L694" s="80"/>
      <c r="M694" s="80"/>
      <c r="N694" s="80"/>
      <c r="O694" s="80"/>
      <c r="P694" s="80"/>
      <c r="Q694" s="80"/>
      <c r="R694" s="80"/>
    </row>
    <row r="695">
      <c r="K695" s="80"/>
      <c r="L695" s="80"/>
      <c r="M695" s="80"/>
      <c r="N695" s="80"/>
      <c r="O695" s="80"/>
      <c r="P695" s="80"/>
      <c r="Q695" s="80"/>
      <c r="R695" s="80"/>
    </row>
    <row r="696">
      <c r="K696" s="80"/>
      <c r="L696" s="80"/>
      <c r="M696" s="80"/>
      <c r="N696" s="80"/>
      <c r="O696" s="80"/>
      <c r="P696" s="80"/>
      <c r="Q696" s="80"/>
      <c r="R696" s="80"/>
    </row>
    <row r="697">
      <c r="K697" s="80"/>
      <c r="L697" s="80"/>
      <c r="M697" s="80"/>
      <c r="N697" s="80"/>
      <c r="O697" s="80"/>
      <c r="P697" s="80"/>
      <c r="Q697" s="80"/>
      <c r="R697" s="80"/>
    </row>
    <row r="698">
      <c r="K698" s="80"/>
      <c r="L698" s="80"/>
      <c r="M698" s="80"/>
      <c r="N698" s="80"/>
      <c r="O698" s="80"/>
      <c r="P698" s="80"/>
      <c r="Q698" s="80"/>
      <c r="R698" s="80"/>
    </row>
    <row r="699">
      <c r="K699" s="80"/>
      <c r="L699" s="80"/>
      <c r="M699" s="80"/>
      <c r="N699" s="80"/>
      <c r="O699" s="80"/>
      <c r="P699" s="80"/>
      <c r="Q699" s="80"/>
      <c r="R699" s="80"/>
    </row>
    <row r="700">
      <c r="K700" s="80"/>
      <c r="L700" s="80"/>
      <c r="M700" s="80"/>
      <c r="N700" s="80"/>
      <c r="O700" s="80"/>
      <c r="P700" s="80"/>
      <c r="Q700" s="80"/>
      <c r="R700" s="80"/>
    </row>
    <row r="701">
      <c r="K701" s="80"/>
      <c r="L701" s="80"/>
      <c r="M701" s="80"/>
      <c r="N701" s="80"/>
      <c r="O701" s="80"/>
      <c r="P701" s="80"/>
      <c r="Q701" s="80"/>
      <c r="R701" s="80"/>
    </row>
    <row r="702">
      <c r="K702" s="80"/>
      <c r="L702" s="80"/>
      <c r="M702" s="80"/>
      <c r="N702" s="80"/>
      <c r="O702" s="80"/>
      <c r="P702" s="80"/>
      <c r="Q702" s="80"/>
      <c r="R702" s="80"/>
    </row>
    <row r="703">
      <c r="K703" s="80"/>
      <c r="L703" s="80"/>
      <c r="M703" s="80"/>
      <c r="N703" s="80"/>
      <c r="O703" s="80"/>
      <c r="P703" s="80"/>
      <c r="Q703" s="80"/>
      <c r="R703" s="80"/>
    </row>
    <row r="704">
      <c r="K704" s="80"/>
      <c r="L704" s="80"/>
      <c r="M704" s="80"/>
      <c r="N704" s="80"/>
      <c r="O704" s="80"/>
      <c r="P704" s="80"/>
      <c r="Q704" s="80"/>
      <c r="R704" s="80"/>
    </row>
    <row r="705">
      <c r="K705" s="80"/>
      <c r="L705" s="80"/>
      <c r="M705" s="80"/>
      <c r="N705" s="80"/>
      <c r="O705" s="80"/>
      <c r="P705" s="80"/>
      <c r="Q705" s="80"/>
      <c r="R705" s="80"/>
    </row>
    <row r="706">
      <c r="K706" s="80"/>
      <c r="L706" s="80"/>
      <c r="M706" s="80"/>
      <c r="N706" s="80"/>
      <c r="O706" s="80"/>
      <c r="P706" s="80"/>
      <c r="Q706" s="80"/>
      <c r="R706" s="80"/>
    </row>
    <row r="707">
      <c r="K707" s="80"/>
      <c r="L707" s="80"/>
      <c r="M707" s="80"/>
      <c r="N707" s="80"/>
      <c r="O707" s="80"/>
      <c r="P707" s="80"/>
      <c r="Q707" s="80"/>
      <c r="R707" s="80"/>
    </row>
    <row r="708">
      <c r="K708" s="80"/>
      <c r="L708" s="80"/>
      <c r="M708" s="80"/>
      <c r="N708" s="80"/>
      <c r="O708" s="80"/>
      <c r="P708" s="80"/>
      <c r="Q708" s="80"/>
      <c r="R708" s="80"/>
    </row>
    <row r="709">
      <c r="K709" s="80"/>
      <c r="L709" s="80"/>
      <c r="M709" s="80"/>
      <c r="N709" s="80"/>
      <c r="O709" s="80"/>
      <c r="P709" s="80"/>
      <c r="Q709" s="80"/>
      <c r="R709" s="80"/>
    </row>
    <row r="710">
      <c r="K710" s="80"/>
      <c r="L710" s="80"/>
      <c r="M710" s="80"/>
      <c r="N710" s="80"/>
      <c r="O710" s="80"/>
      <c r="P710" s="80"/>
      <c r="Q710" s="80"/>
      <c r="R710" s="80"/>
    </row>
    <row r="711">
      <c r="K711" s="80"/>
      <c r="L711" s="80"/>
      <c r="M711" s="80"/>
      <c r="N711" s="80"/>
      <c r="O711" s="80"/>
      <c r="P711" s="80"/>
      <c r="Q711" s="80"/>
      <c r="R711" s="80"/>
    </row>
    <row r="712">
      <c r="K712" s="80"/>
      <c r="L712" s="80"/>
      <c r="M712" s="80"/>
      <c r="N712" s="80"/>
      <c r="O712" s="80"/>
      <c r="P712" s="80"/>
      <c r="Q712" s="80"/>
      <c r="R712" s="80"/>
    </row>
    <row r="713">
      <c r="K713" s="80"/>
      <c r="L713" s="80"/>
      <c r="M713" s="80"/>
      <c r="N713" s="80"/>
      <c r="O713" s="80"/>
      <c r="P713" s="80"/>
      <c r="Q713" s="80"/>
      <c r="R713" s="80"/>
    </row>
    <row r="714">
      <c r="K714" s="80"/>
      <c r="L714" s="80"/>
      <c r="M714" s="80"/>
      <c r="N714" s="80"/>
      <c r="O714" s="80"/>
      <c r="P714" s="80"/>
      <c r="Q714" s="80"/>
      <c r="R714" s="80"/>
    </row>
    <row r="715">
      <c r="K715" s="80"/>
      <c r="L715" s="80"/>
      <c r="M715" s="80"/>
      <c r="N715" s="80"/>
      <c r="O715" s="80"/>
      <c r="P715" s="80"/>
      <c r="Q715" s="80"/>
      <c r="R715" s="80"/>
    </row>
    <row r="716">
      <c r="K716" s="80"/>
      <c r="L716" s="80"/>
      <c r="M716" s="80"/>
      <c r="N716" s="80"/>
      <c r="O716" s="80"/>
      <c r="P716" s="80"/>
      <c r="Q716" s="80"/>
      <c r="R716" s="80"/>
    </row>
    <row r="717">
      <c r="K717" s="80"/>
      <c r="L717" s="80"/>
      <c r="M717" s="80"/>
      <c r="N717" s="80"/>
      <c r="O717" s="80"/>
      <c r="P717" s="80"/>
      <c r="Q717" s="80"/>
      <c r="R717" s="80"/>
    </row>
    <row r="718">
      <c r="K718" s="80"/>
      <c r="L718" s="80"/>
      <c r="M718" s="80"/>
      <c r="N718" s="80"/>
      <c r="O718" s="80"/>
      <c r="P718" s="80"/>
      <c r="Q718" s="80"/>
      <c r="R718" s="80"/>
    </row>
    <row r="719">
      <c r="K719" s="80"/>
      <c r="L719" s="80"/>
      <c r="M719" s="80"/>
      <c r="N719" s="80"/>
      <c r="O719" s="80"/>
      <c r="P719" s="80"/>
      <c r="Q719" s="80"/>
      <c r="R719" s="80"/>
    </row>
    <row r="720">
      <c r="K720" s="80"/>
      <c r="L720" s="80"/>
      <c r="M720" s="80"/>
      <c r="N720" s="80"/>
      <c r="O720" s="80"/>
      <c r="P720" s="80"/>
      <c r="Q720" s="80"/>
      <c r="R720" s="80"/>
    </row>
    <row r="721">
      <c r="K721" s="80"/>
      <c r="L721" s="80"/>
      <c r="M721" s="80"/>
      <c r="N721" s="80"/>
      <c r="O721" s="80"/>
      <c r="P721" s="80"/>
      <c r="Q721" s="80"/>
      <c r="R721" s="80"/>
    </row>
    <row r="722">
      <c r="K722" s="80"/>
      <c r="L722" s="80"/>
      <c r="M722" s="80"/>
      <c r="N722" s="80"/>
      <c r="O722" s="80"/>
      <c r="P722" s="80"/>
      <c r="Q722" s="80"/>
      <c r="R722" s="80"/>
    </row>
    <row r="723">
      <c r="K723" s="80"/>
      <c r="L723" s="80"/>
      <c r="M723" s="80"/>
      <c r="N723" s="80"/>
      <c r="O723" s="80"/>
      <c r="P723" s="80"/>
      <c r="Q723" s="80"/>
      <c r="R723" s="80"/>
    </row>
    <row r="724">
      <c r="K724" s="80"/>
      <c r="L724" s="80"/>
      <c r="M724" s="80"/>
      <c r="N724" s="80"/>
      <c r="O724" s="80"/>
      <c r="P724" s="80"/>
      <c r="Q724" s="80"/>
      <c r="R724" s="80"/>
    </row>
    <row r="725">
      <c r="K725" s="80"/>
      <c r="L725" s="80"/>
      <c r="M725" s="80"/>
      <c r="N725" s="80"/>
      <c r="O725" s="80"/>
      <c r="P725" s="80"/>
      <c r="Q725" s="80"/>
      <c r="R725" s="80"/>
    </row>
    <row r="726">
      <c r="K726" s="80"/>
      <c r="L726" s="80"/>
      <c r="M726" s="80"/>
      <c r="N726" s="80"/>
      <c r="O726" s="80"/>
      <c r="P726" s="80"/>
      <c r="Q726" s="80"/>
      <c r="R726" s="80"/>
    </row>
    <row r="727">
      <c r="K727" s="80"/>
      <c r="L727" s="80"/>
      <c r="M727" s="80"/>
      <c r="N727" s="80"/>
      <c r="O727" s="80"/>
      <c r="P727" s="80"/>
      <c r="Q727" s="80"/>
      <c r="R727" s="80"/>
    </row>
    <row r="728">
      <c r="K728" s="80"/>
      <c r="L728" s="80"/>
      <c r="M728" s="80"/>
      <c r="N728" s="80"/>
      <c r="O728" s="80"/>
      <c r="P728" s="80"/>
      <c r="Q728" s="80"/>
      <c r="R728" s="80"/>
    </row>
    <row r="729">
      <c r="K729" s="80"/>
      <c r="L729" s="80"/>
      <c r="M729" s="80"/>
      <c r="N729" s="80"/>
      <c r="O729" s="80"/>
      <c r="P729" s="80"/>
      <c r="Q729" s="80"/>
      <c r="R729" s="80"/>
    </row>
    <row r="730">
      <c r="K730" s="80"/>
      <c r="L730" s="80"/>
      <c r="M730" s="80"/>
      <c r="N730" s="80"/>
      <c r="O730" s="80"/>
      <c r="P730" s="80"/>
      <c r="Q730" s="80"/>
      <c r="R730" s="80"/>
    </row>
    <row r="731">
      <c r="K731" s="80"/>
      <c r="L731" s="80"/>
      <c r="M731" s="80"/>
      <c r="N731" s="80"/>
      <c r="O731" s="80"/>
      <c r="P731" s="80"/>
      <c r="Q731" s="80"/>
      <c r="R731" s="80"/>
    </row>
    <row r="732">
      <c r="K732" s="80"/>
      <c r="L732" s="80"/>
      <c r="M732" s="80"/>
      <c r="N732" s="80"/>
      <c r="O732" s="80"/>
      <c r="P732" s="80"/>
      <c r="Q732" s="80"/>
      <c r="R732" s="80"/>
    </row>
    <row r="733">
      <c r="K733" s="80"/>
      <c r="L733" s="80"/>
      <c r="M733" s="80"/>
      <c r="N733" s="80"/>
      <c r="O733" s="80"/>
      <c r="P733" s="80"/>
      <c r="Q733" s="80"/>
      <c r="R733" s="80"/>
    </row>
    <row r="734">
      <c r="K734" s="80"/>
      <c r="L734" s="80"/>
      <c r="M734" s="80"/>
      <c r="N734" s="80"/>
      <c r="O734" s="80"/>
      <c r="P734" s="80"/>
      <c r="Q734" s="80"/>
      <c r="R734" s="80"/>
    </row>
    <row r="735">
      <c r="K735" s="80"/>
      <c r="L735" s="80"/>
      <c r="M735" s="80"/>
      <c r="N735" s="80"/>
      <c r="O735" s="80"/>
      <c r="P735" s="80"/>
      <c r="Q735" s="80"/>
      <c r="R735" s="80"/>
    </row>
    <row r="736">
      <c r="K736" s="80"/>
      <c r="L736" s="80"/>
      <c r="M736" s="80"/>
      <c r="N736" s="80"/>
      <c r="O736" s="80"/>
      <c r="P736" s="80"/>
      <c r="Q736" s="80"/>
      <c r="R736" s="80"/>
    </row>
    <row r="737">
      <c r="K737" s="80"/>
      <c r="L737" s="80"/>
      <c r="M737" s="80"/>
      <c r="N737" s="80"/>
      <c r="O737" s="80"/>
      <c r="P737" s="80"/>
      <c r="Q737" s="80"/>
      <c r="R737" s="80"/>
    </row>
    <row r="738">
      <c r="K738" s="80"/>
      <c r="L738" s="80"/>
      <c r="M738" s="80"/>
      <c r="N738" s="80"/>
      <c r="O738" s="80"/>
      <c r="P738" s="80"/>
      <c r="Q738" s="80"/>
      <c r="R738" s="80"/>
    </row>
    <row r="739">
      <c r="K739" s="80"/>
      <c r="L739" s="80"/>
      <c r="M739" s="80"/>
      <c r="N739" s="80"/>
      <c r="O739" s="80"/>
      <c r="P739" s="80"/>
      <c r="Q739" s="80"/>
      <c r="R739" s="80"/>
    </row>
    <row r="740">
      <c r="K740" s="80"/>
      <c r="L740" s="80"/>
      <c r="M740" s="80"/>
      <c r="N740" s="80"/>
      <c r="O740" s="80"/>
      <c r="P740" s="80"/>
      <c r="Q740" s="80"/>
      <c r="R740" s="80"/>
    </row>
    <row r="741">
      <c r="K741" s="80"/>
      <c r="L741" s="80"/>
      <c r="M741" s="80"/>
      <c r="N741" s="80"/>
      <c r="O741" s="80"/>
      <c r="P741" s="80"/>
      <c r="Q741" s="80"/>
      <c r="R741" s="80"/>
    </row>
    <row r="742">
      <c r="K742" s="80"/>
      <c r="L742" s="80"/>
      <c r="M742" s="80"/>
      <c r="N742" s="80"/>
      <c r="O742" s="80"/>
      <c r="P742" s="80"/>
      <c r="Q742" s="80"/>
      <c r="R742" s="80"/>
    </row>
    <row r="743">
      <c r="K743" s="80"/>
      <c r="L743" s="80"/>
      <c r="M743" s="80"/>
      <c r="N743" s="80"/>
      <c r="O743" s="80"/>
      <c r="P743" s="80"/>
      <c r="Q743" s="80"/>
      <c r="R743" s="80"/>
    </row>
    <row r="744">
      <c r="K744" s="80"/>
      <c r="L744" s="80"/>
      <c r="M744" s="80"/>
      <c r="N744" s="80"/>
      <c r="O744" s="80"/>
      <c r="P744" s="80"/>
      <c r="Q744" s="80"/>
      <c r="R744" s="80"/>
    </row>
    <row r="745">
      <c r="K745" s="80"/>
      <c r="L745" s="80"/>
      <c r="M745" s="80"/>
      <c r="N745" s="80"/>
      <c r="O745" s="80"/>
      <c r="P745" s="80"/>
      <c r="Q745" s="80"/>
      <c r="R745" s="80"/>
    </row>
    <row r="746">
      <c r="K746" s="80"/>
      <c r="L746" s="80"/>
      <c r="M746" s="80"/>
      <c r="N746" s="80"/>
      <c r="O746" s="80"/>
      <c r="P746" s="80"/>
      <c r="Q746" s="80"/>
      <c r="R746" s="80"/>
    </row>
    <row r="747">
      <c r="K747" s="80"/>
      <c r="L747" s="80"/>
      <c r="M747" s="80"/>
      <c r="N747" s="80"/>
      <c r="O747" s="80"/>
      <c r="P747" s="80"/>
      <c r="Q747" s="80"/>
      <c r="R747" s="80"/>
    </row>
    <row r="748">
      <c r="K748" s="80"/>
      <c r="L748" s="80"/>
      <c r="M748" s="80"/>
      <c r="N748" s="80"/>
      <c r="O748" s="80"/>
      <c r="P748" s="80"/>
      <c r="Q748" s="80"/>
      <c r="R748" s="80"/>
    </row>
    <row r="749">
      <c r="K749" s="80"/>
      <c r="L749" s="80"/>
      <c r="M749" s="80"/>
      <c r="N749" s="80"/>
      <c r="O749" s="80"/>
      <c r="P749" s="80"/>
      <c r="Q749" s="80"/>
      <c r="R749" s="80"/>
    </row>
    <row r="750">
      <c r="K750" s="80"/>
      <c r="L750" s="80"/>
      <c r="M750" s="80"/>
      <c r="N750" s="80"/>
      <c r="O750" s="80"/>
      <c r="P750" s="80"/>
      <c r="Q750" s="80"/>
      <c r="R750" s="80"/>
    </row>
    <row r="751">
      <c r="K751" s="80"/>
      <c r="L751" s="80"/>
      <c r="M751" s="80"/>
      <c r="N751" s="80"/>
      <c r="O751" s="80"/>
      <c r="P751" s="80"/>
      <c r="Q751" s="80"/>
      <c r="R751" s="80"/>
    </row>
    <row r="752">
      <c r="K752" s="80"/>
      <c r="L752" s="80"/>
      <c r="M752" s="80"/>
      <c r="N752" s="80"/>
      <c r="O752" s="80"/>
      <c r="P752" s="80"/>
      <c r="Q752" s="80"/>
      <c r="R752" s="80"/>
    </row>
    <row r="753">
      <c r="K753" s="80"/>
      <c r="L753" s="80"/>
      <c r="M753" s="80"/>
      <c r="N753" s="80"/>
      <c r="O753" s="80"/>
      <c r="P753" s="80"/>
      <c r="Q753" s="80"/>
      <c r="R753" s="80"/>
    </row>
    <row r="754">
      <c r="K754" s="80"/>
      <c r="L754" s="80"/>
      <c r="M754" s="80"/>
      <c r="N754" s="80"/>
      <c r="O754" s="80"/>
      <c r="P754" s="80"/>
      <c r="Q754" s="80"/>
      <c r="R754" s="80"/>
    </row>
    <row r="755">
      <c r="K755" s="80"/>
      <c r="L755" s="80"/>
      <c r="M755" s="80"/>
      <c r="N755" s="80"/>
      <c r="O755" s="80"/>
      <c r="P755" s="80"/>
      <c r="Q755" s="80"/>
      <c r="R755" s="80"/>
    </row>
    <row r="756">
      <c r="K756" s="80"/>
      <c r="L756" s="80"/>
      <c r="M756" s="80"/>
      <c r="N756" s="80"/>
      <c r="O756" s="80"/>
      <c r="P756" s="80"/>
      <c r="Q756" s="80"/>
      <c r="R756" s="80"/>
    </row>
    <row r="757">
      <c r="K757" s="80"/>
      <c r="L757" s="80"/>
      <c r="M757" s="80"/>
      <c r="N757" s="80"/>
      <c r="O757" s="80"/>
      <c r="P757" s="80"/>
      <c r="Q757" s="80"/>
      <c r="R757" s="80"/>
    </row>
    <row r="758">
      <c r="K758" s="80"/>
      <c r="L758" s="80"/>
      <c r="M758" s="80"/>
      <c r="N758" s="80"/>
      <c r="O758" s="80"/>
      <c r="P758" s="80"/>
      <c r="Q758" s="80"/>
      <c r="R758" s="80"/>
    </row>
    <row r="759">
      <c r="K759" s="80"/>
      <c r="L759" s="80"/>
      <c r="M759" s="80"/>
      <c r="N759" s="80"/>
      <c r="O759" s="80"/>
      <c r="P759" s="80"/>
      <c r="Q759" s="80"/>
      <c r="R759" s="80"/>
    </row>
    <row r="760">
      <c r="K760" s="80"/>
      <c r="L760" s="80"/>
      <c r="M760" s="80"/>
      <c r="N760" s="80"/>
      <c r="O760" s="80"/>
      <c r="P760" s="80"/>
      <c r="Q760" s="80"/>
      <c r="R760" s="80"/>
    </row>
    <row r="761">
      <c r="K761" s="80"/>
      <c r="L761" s="80"/>
      <c r="M761" s="80"/>
      <c r="N761" s="80"/>
      <c r="O761" s="80"/>
      <c r="P761" s="80"/>
      <c r="Q761" s="80"/>
      <c r="R761" s="80"/>
    </row>
    <row r="762">
      <c r="K762" s="80"/>
      <c r="L762" s="80"/>
      <c r="M762" s="80"/>
      <c r="N762" s="80"/>
      <c r="O762" s="80"/>
      <c r="P762" s="80"/>
      <c r="Q762" s="80"/>
      <c r="R762" s="80"/>
    </row>
    <row r="763">
      <c r="K763" s="80"/>
      <c r="L763" s="80"/>
      <c r="M763" s="80"/>
      <c r="N763" s="80"/>
      <c r="O763" s="80"/>
      <c r="P763" s="80"/>
      <c r="Q763" s="80"/>
      <c r="R763" s="80"/>
    </row>
    <row r="764">
      <c r="K764" s="80"/>
      <c r="L764" s="80"/>
      <c r="M764" s="80"/>
      <c r="N764" s="80"/>
      <c r="O764" s="80"/>
      <c r="P764" s="80"/>
      <c r="Q764" s="80"/>
      <c r="R764" s="80"/>
    </row>
    <row r="765">
      <c r="K765" s="80"/>
      <c r="L765" s="80"/>
      <c r="M765" s="80"/>
      <c r="N765" s="80"/>
      <c r="O765" s="80"/>
      <c r="P765" s="80"/>
      <c r="Q765" s="80"/>
      <c r="R765" s="80"/>
    </row>
    <row r="766">
      <c r="K766" s="80"/>
      <c r="L766" s="80"/>
      <c r="M766" s="80"/>
      <c r="N766" s="80"/>
      <c r="O766" s="80"/>
      <c r="P766" s="80"/>
      <c r="Q766" s="80"/>
      <c r="R766" s="80"/>
    </row>
    <row r="767">
      <c r="K767" s="80"/>
      <c r="L767" s="80"/>
      <c r="M767" s="80"/>
      <c r="N767" s="80"/>
      <c r="O767" s="80"/>
      <c r="P767" s="80"/>
      <c r="Q767" s="80"/>
      <c r="R767" s="80"/>
    </row>
    <row r="768">
      <c r="K768" s="80"/>
      <c r="L768" s="80"/>
      <c r="M768" s="80"/>
      <c r="N768" s="80"/>
      <c r="O768" s="80"/>
      <c r="P768" s="80"/>
      <c r="Q768" s="80"/>
      <c r="R768" s="80"/>
    </row>
    <row r="769">
      <c r="K769" s="80"/>
      <c r="L769" s="80"/>
      <c r="M769" s="80"/>
      <c r="N769" s="80"/>
      <c r="O769" s="80"/>
      <c r="P769" s="80"/>
      <c r="Q769" s="80"/>
      <c r="R769" s="80"/>
    </row>
    <row r="770">
      <c r="K770" s="80"/>
      <c r="L770" s="80"/>
      <c r="M770" s="80"/>
      <c r="N770" s="80"/>
      <c r="O770" s="80"/>
      <c r="P770" s="80"/>
      <c r="Q770" s="80"/>
      <c r="R770" s="80"/>
    </row>
    <row r="771">
      <c r="K771" s="80"/>
      <c r="L771" s="80"/>
      <c r="M771" s="80"/>
      <c r="N771" s="80"/>
      <c r="O771" s="80"/>
      <c r="P771" s="80"/>
      <c r="Q771" s="80"/>
      <c r="R771" s="80"/>
    </row>
    <row r="772">
      <c r="K772" s="80"/>
      <c r="L772" s="80"/>
      <c r="M772" s="80"/>
      <c r="N772" s="80"/>
      <c r="O772" s="80"/>
      <c r="P772" s="80"/>
      <c r="Q772" s="80"/>
      <c r="R772" s="80"/>
    </row>
    <row r="773">
      <c r="K773" s="80"/>
      <c r="L773" s="80"/>
      <c r="M773" s="80"/>
      <c r="N773" s="80"/>
      <c r="O773" s="80"/>
      <c r="P773" s="80"/>
      <c r="Q773" s="80"/>
      <c r="R773" s="80"/>
    </row>
    <row r="774">
      <c r="K774" s="80"/>
      <c r="L774" s="80"/>
      <c r="M774" s="80"/>
      <c r="N774" s="80"/>
      <c r="O774" s="80"/>
      <c r="P774" s="80"/>
      <c r="Q774" s="80"/>
      <c r="R774" s="80"/>
    </row>
    <row r="775">
      <c r="K775" s="80"/>
      <c r="L775" s="80"/>
      <c r="M775" s="80"/>
      <c r="N775" s="80"/>
      <c r="O775" s="80"/>
      <c r="P775" s="80"/>
      <c r="Q775" s="80"/>
      <c r="R775" s="80"/>
    </row>
    <row r="776">
      <c r="K776" s="80"/>
      <c r="L776" s="80"/>
      <c r="M776" s="80"/>
      <c r="N776" s="80"/>
      <c r="O776" s="80"/>
      <c r="P776" s="80"/>
      <c r="Q776" s="80"/>
      <c r="R776" s="80"/>
    </row>
    <row r="777">
      <c r="K777" s="80"/>
      <c r="L777" s="80"/>
      <c r="M777" s="80"/>
      <c r="N777" s="80"/>
      <c r="O777" s="80"/>
      <c r="P777" s="80"/>
      <c r="Q777" s="80"/>
      <c r="R777" s="80"/>
    </row>
    <row r="778">
      <c r="K778" s="80"/>
      <c r="L778" s="80"/>
      <c r="M778" s="80"/>
      <c r="N778" s="80"/>
      <c r="O778" s="80"/>
      <c r="P778" s="80"/>
      <c r="Q778" s="80"/>
      <c r="R778" s="80"/>
    </row>
    <row r="779">
      <c r="K779" s="80"/>
      <c r="L779" s="80"/>
      <c r="M779" s="80"/>
      <c r="N779" s="80"/>
      <c r="O779" s="80"/>
      <c r="P779" s="80"/>
      <c r="Q779" s="80"/>
      <c r="R779" s="80"/>
    </row>
    <row r="780">
      <c r="K780" s="80"/>
      <c r="L780" s="80"/>
      <c r="M780" s="80"/>
      <c r="N780" s="80"/>
      <c r="O780" s="80"/>
      <c r="P780" s="80"/>
      <c r="Q780" s="80"/>
      <c r="R780" s="80"/>
    </row>
    <row r="781">
      <c r="K781" s="80"/>
      <c r="L781" s="80"/>
      <c r="M781" s="80"/>
      <c r="N781" s="80"/>
      <c r="O781" s="80"/>
      <c r="P781" s="80"/>
      <c r="Q781" s="80"/>
      <c r="R781" s="80"/>
    </row>
    <row r="782">
      <c r="K782" s="80"/>
      <c r="L782" s="80"/>
      <c r="M782" s="80"/>
      <c r="N782" s="80"/>
      <c r="O782" s="80"/>
      <c r="P782" s="80"/>
      <c r="Q782" s="80"/>
      <c r="R782" s="80"/>
    </row>
    <row r="783">
      <c r="K783" s="80"/>
      <c r="L783" s="80"/>
      <c r="M783" s="80"/>
      <c r="N783" s="80"/>
      <c r="O783" s="80"/>
      <c r="P783" s="80"/>
      <c r="Q783" s="80"/>
      <c r="R783" s="80"/>
    </row>
    <row r="784">
      <c r="K784" s="80"/>
      <c r="L784" s="80"/>
      <c r="M784" s="80"/>
      <c r="N784" s="80"/>
      <c r="O784" s="80"/>
      <c r="P784" s="80"/>
      <c r="Q784" s="80"/>
      <c r="R784" s="80"/>
    </row>
    <row r="785">
      <c r="K785" s="80"/>
      <c r="L785" s="80"/>
      <c r="M785" s="80"/>
      <c r="N785" s="80"/>
      <c r="O785" s="80"/>
      <c r="P785" s="80"/>
      <c r="Q785" s="80"/>
      <c r="R785" s="80"/>
    </row>
    <row r="786">
      <c r="K786" s="80"/>
      <c r="L786" s="80"/>
      <c r="M786" s="80"/>
      <c r="N786" s="80"/>
      <c r="O786" s="80"/>
      <c r="P786" s="80"/>
      <c r="Q786" s="80"/>
      <c r="R786" s="80"/>
    </row>
    <row r="787">
      <c r="K787" s="80"/>
      <c r="L787" s="80"/>
      <c r="M787" s="80"/>
      <c r="N787" s="80"/>
      <c r="O787" s="80"/>
      <c r="P787" s="80"/>
      <c r="Q787" s="80"/>
      <c r="R787" s="80"/>
    </row>
    <row r="788">
      <c r="K788" s="80"/>
      <c r="L788" s="80"/>
      <c r="M788" s="80"/>
      <c r="N788" s="80"/>
      <c r="O788" s="80"/>
      <c r="P788" s="80"/>
      <c r="Q788" s="80"/>
      <c r="R788" s="80"/>
    </row>
    <row r="789">
      <c r="K789" s="80"/>
      <c r="L789" s="80"/>
      <c r="M789" s="80"/>
      <c r="N789" s="80"/>
      <c r="O789" s="80"/>
      <c r="P789" s="80"/>
      <c r="Q789" s="80"/>
      <c r="R789" s="80"/>
    </row>
    <row r="790">
      <c r="K790" s="80"/>
      <c r="L790" s="80"/>
      <c r="M790" s="80"/>
      <c r="N790" s="80"/>
      <c r="O790" s="80"/>
      <c r="P790" s="80"/>
      <c r="Q790" s="80"/>
      <c r="R790" s="80"/>
    </row>
    <row r="791">
      <c r="K791" s="80"/>
      <c r="L791" s="80"/>
      <c r="M791" s="80"/>
      <c r="N791" s="80"/>
      <c r="O791" s="80"/>
      <c r="P791" s="80"/>
      <c r="Q791" s="80"/>
      <c r="R791" s="80"/>
    </row>
    <row r="792">
      <c r="K792" s="80"/>
      <c r="L792" s="80"/>
      <c r="M792" s="80"/>
      <c r="N792" s="80"/>
      <c r="O792" s="80"/>
      <c r="P792" s="80"/>
      <c r="Q792" s="80"/>
      <c r="R792" s="80"/>
    </row>
    <row r="793">
      <c r="K793" s="80"/>
      <c r="L793" s="80"/>
      <c r="M793" s="80"/>
      <c r="N793" s="80"/>
      <c r="O793" s="80"/>
      <c r="P793" s="80"/>
      <c r="Q793" s="80"/>
      <c r="R793" s="80"/>
    </row>
    <row r="794">
      <c r="K794" s="80"/>
      <c r="L794" s="80"/>
      <c r="M794" s="80"/>
      <c r="N794" s="80"/>
      <c r="O794" s="80"/>
      <c r="P794" s="80"/>
      <c r="Q794" s="80"/>
      <c r="R794" s="80"/>
    </row>
    <row r="795">
      <c r="K795" s="80"/>
      <c r="L795" s="80"/>
      <c r="M795" s="80"/>
      <c r="N795" s="80"/>
      <c r="O795" s="80"/>
      <c r="P795" s="80"/>
      <c r="Q795" s="80"/>
      <c r="R795" s="80"/>
    </row>
    <row r="796">
      <c r="K796" s="80"/>
      <c r="L796" s="80"/>
      <c r="M796" s="80"/>
      <c r="N796" s="80"/>
      <c r="O796" s="80"/>
      <c r="P796" s="80"/>
      <c r="Q796" s="80"/>
      <c r="R796" s="80"/>
    </row>
    <row r="797">
      <c r="K797" s="80"/>
      <c r="L797" s="80"/>
      <c r="M797" s="80"/>
      <c r="N797" s="80"/>
      <c r="O797" s="80"/>
      <c r="P797" s="80"/>
      <c r="Q797" s="80"/>
      <c r="R797" s="80"/>
    </row>
    <row r="798">
      <c r="K798" s="80"/>
      <c r="L798" s="80"/>
      <c r="M798" s="80"/>
      <c r="N798" s="80"/>
      <c r="O798" s="80"/>
      <c r="P798" s="80"/>
      <c r="Q798" s="80"/>
      <c r="R798" s="80"/>
    </row>
    <row r="799">
      <c r="K799" s="80"/>
      <c r="L799" s="80"/>
      <c r="M799" s="80"/>
      <c r="N799" s="80"/>
      <c r="O799" s="80"/>
      <c r="P799" s="80"/>
      <c r="Q799" s="80"/>
      <c r="R799" s="80"/>
    </row>
    <row r="800">
      <c r="K800" s="80"/>
      <c r="L800" s="80"/>
      <c r="M800" s="80"/>
      <c r="N800" s="80"/>
      <c r="O800" s="80"/>
      <c r="P800" s="80"/>
      <c r="Q800" s="80"/>
      <c r="R800" s="80"/>
    </row>
    <row r="801">
      <c r="K801" s="80"/>
      <c r="L801" s="80"/>
      <c r="M801" s="80"/>
      <c r="N801" s="80"/>
      <c r="O801" s="80"/>
      <c r="P801" s="80"/>
      <c r="Q801" s="80"/>
      <c r="R801" s="80"/>
    </row>
    <row r="802">
      <c r="K802" s="80"/>
      <c r="L802" s="80"/>
      <c r="M802" s="80"/>
      <c r="N802" s="80"/>
      <c r="O802" s="80"/>
      <c r="P802" s="80"/>
      <c r="Q802" s="80"/>
      <c r="R802" s="80"/>
    </row>
    <row r="803">
      <c r="K803" s="80"/>
      <c r="L803" s="80"/>
      <c r="M803" s="80"/>
      <c r="N803" s="80"/>
      <c r="O803" s="80"/>
      <c r="P803" s="80"/>
      <c r="Q803" s="80"/>
      <c r="R803" s="80"/>
    </row>
    <row r="804">
      <c r="K804" s="80"/>
      <c r="L804" s="80"/>
      <c r="M804" s="80"/>
      <c r="N804" s="80"/>
      <c r="O804" s="80"/>
      <c r="P804" s="80"/>
      <c r="Q804" s="80"/>
      <c r="R804" s="80"/>
    </row>
    <row r="805">
      <c r="K805" s="80"/>
      <c r="L805" s="80"/>
      <c r="M805" s="80"/>
      <c r="N805" s="80"/>
      <c r="O805" s="80"/>
      <c r="P805" s="80"/>
      <c r="Q805" s="80"/>
      <c r="R805" s="80"/>
    </row>
    <row r="806">
      <c r="K806" s="80"/>
      <c r="L806" s="80"/>
      <c r="M806" s="80"/>
      <c r="N806" s="80"/>
      <c r="O806" s="80"/>
      <c r="P806" s="80"/>
      <c r="Q806" s="80"/>
      <c r="R806" s="80"/>
    </row>
    <row r="807">
      <c r="K807" s="80"/>
      <c r="L807" s="80"/>
      <c r="M807" s="80"/>
      <c r="N807" s="80"/>
      <c r="O807" s="80"/>
      <c r="P807" s="80"/>
      <c r="Q807" s="80"/>
      <c r="R807" s="80"/>
    </row>
    <row r="808">
      <c r="K808" s="80"/>
      <c r="L808" s="80"/>
      <c r="M808" s="80"/>
      <c r="N808" s="80"/>
      <c r="O808" s="80"/>
      <c r="P808" s="80"/>
      <c r="Q808" s="80"/>
      <c r="R808" s="80"/>
    </row>
    <row r="809">
      <c r="K809" s="80"/>
      <c r="L809" s="80"/>
      <c r="M809" s="80"/>
      <c r="N809" s="80"/>
      <c r="O809" s="80"/>
      <c r="P809" s="80"/>
      <c r="Q809" s="80"/>
      <c r="R809" s="80"/>
    </row>
    <row r="810">
      <c r="K810" s="80"/>
      <c r="L810" s="80"/>
      <c r="M810" s="80"/>
      <c r="N810" s="80"/>
      <c r="O810" s="80"/>
      <c r="P810" s="80"/>
      <c r="Q810" s="80"/>
      <c r="R810" s="80"/>
    </row>
    <row r="811">
      <c r="K811" s="80"/>
      <c r="L811" s="80"/>
      <c r="M811" s="80"/>
      <c r="N811" s="80"/>
      <c r="O811" s="80"/>
      <c r="P811" s="80"/>
      <c r="Q811" s="80"/>
      <c r="R811" s="80"/>
    </row>
    <row r="812">
      <c r="K812" s="80"/>
      <c r="L812" s="80"/>
      <c r="M812" s="80"/>
      <c r="N812" s="80"/>
      <c r="O812" s="80"/>
      <c r="P812" s="80"/>
      <c r="Q812" s="80"/>
      <c r="R812" s="80"/>
    </row>
    <row r="813">
      <c r="K813" s="80"/>
      <c r="L813" s="80"/>
      <c r="M813" s="80"/>
      <c r="N813" s="80"/>
      <c r="O813" s="80"/>
      <c r="P813" s="80"/>
      <c r="Q813" s="80"/>
      <c r="R813" s="80"/>
    </row>
    <row r="814">
      <c r="K814" s="80"/>
      <c r="L814" s="80"/>
      <c r="M814" s="80"/>
      <c r="N814" s="80"/>
      <c r="O814" s="80"/>
      <c r="P814" s="80"/>
      <c r="Q814" s="80"/>
      <c r="R814" s="80"/>
    </row>
    <row r="815">
      <c r="K815" s="80"/>
      <c r="L815" s="80"/>
      <c r="M815" s="80"/>
      <c r="N815" s="80"/>
      <c r="O815" s="80"/>
      <c r="P815" s="80"/>
      <c r="Q815" s="80"/>
      <c r="R815" s="80"/>
    </row>
    <row r="816">
      <c r="K816" s="80"/>
      <c r="L816" s="80"/>
      <c r="M816" s="80"/>
      <c r="N816" s="80"/>
      <c r="O816" s="80"/>
      <c r="P816" s="80"/>
      <c r="Q816" s="80"/>
      <c r="R816" s="80"/>
    </row>
    <row r="817">
      <c r="K817" s="80"/>
      <c r="L817" s="80"/>
      <c r="M817" s="80"/>
      <c r="N817" s="80"/>
      <c r="O817" s="80"/>
      <c r="P817" s="80"/>
      <c r="Q817" s="80"/>
      <c r="R817" s="80"/>
    </row>
    <row r="818">
      <c r="K818" s="80"/>
      <c r="L818" s="80"/>
      <c r="M818" s="80"/>
      <c r="N818" s="80"/>
      <c r="O818" s="80"/>
      <c r="P818" s="80"/>
      <c r="Q818" s="80"/>
      <c r="R818" s="80"/>
    </row>
    <row r="819">
      <c r="K819" s="80"/>
      <c r="L819" s="80"/>
      <c r="M819" s="80"/>
      <c r="N819" s="80"/>
      <c r="O819" s="80"/>
      <c r="P819" s="80"/>
      <c r="Q819" s="80"/>
      <c r="R819" s="80"/>
    </row>
    <row r="820">
      <c r="K820" s="80"/>
      <c r="L820" s="80"/>
      <c r="M820" s="80"/>
      <c r="N820" s="80"/>
      <c r="O820" s="80"/>
      <c r="P820" s="80"/>
      <c r="Q820" s="80"/>
      <c r="R820" s="80"/>
    </row>
    <row r="821">
      <c r="K821" s="80"/>
      <c r="L821" s="80"/>
      <c r="M821" s="80"/>
      <c r="N821" s="80"/>
      <c r="O821" s="80"/>
      <c r="P821" s="80"/>
      <c r="Q821" s="80"/>
      <c r="R821" s="80"/>
    </row>
    <row r="822">
      <c r="K822" s="80"/>
      <c r="L822" s="80"/>
      <c r="M822" s="80"/>
      <c r="N822" s="80"/>
      <c r="O822" s="80"/>
      <c r="P822" s="80"/>
      <c r="Q822" s="80"/>
      <c r="R822" s="80"/>
    </row>
    <row r="823">
      <c r="K823" s="80"/>
      <c r="L823" s="80"/>
      <c r="M823" s="80"/>
      <c r="N823" s="80"/>
      <c r="O823" s="80"/>
      <c r="P823" s="80"/>
      <c r="Q823" s="80"/>
      <c r="R823" s="80"/>
    </row>
    <row r="824">
      <c r="K824" s="80"/>
      <c r="L824" s="80"/>
      <c r="M824" s="80"/>
      <c r="N824" s="80"/>
      <c r="O824" s="80"/>
      <c r="P824" s="80"/>
      <c r="Q824" s="80"/>
      <c r="R824" s="80"/>
    </row>
    <row r="825">
      <c r="K825" s="80"/>
      <c r="L825" s="80"/>
      <c r="M825" s="80"/>
      <c r="N825" s="80"/>
      <c r="O825" s="80"/>
      <c r="P825" s="80"/>
      <c r="Q825" s="80"/>
      <c r="R825" s="80"/>
    </row>
    <row r="826">
      <c r="K826" s="80"/>
      <c r="L826" s="80"/>
      <c r="M826" s="80"/>
      <c r="N826" s="80"/>
      <c r="O826" s="80"/>
      <c r="P826" s="80"/>
      <c r="Q826" s="80"/>
      <c r="R826" s="80"/>
    </row>
    <row r="827">
      <c r="K827" s="80"/>
      <c r="L827" s="80"/>
      <c r="M827" s="80"/>
      <c r="N827" s="80"/>
      <c r="O827" s="80"/>
      <c r="P827" s="80"/>
      <c r="Q827" s="80"/>
      <c r="R827" s="80"/>
    </row>
    <row r="828">
      <c r="K828" s="80"/>
      <c r="L828" s="80"/>
      <c r="M828" s="80"/>
      <c r="N828" s="80"/>
      <c r="O828" s="80"/>
      <c r="P828" s="80"/>
      <c r="Q828" s="80"/>
      <c r="R828" s="80"/>
    </row>
    <row r="829">
      <c r="K829" s="80"/>
      <c r="L829" s="80"/>
      <c r="M829" s="80"/>
      <c r="N829" s="80"/>
      <c r="O829" s="80"/>
      <c r="P829" s="80"/>
      <c r="Q829" s="80"/>
      <c r="R829" s="80"/>
    </row>
    <row r="830">
      <c r="K830" s="80"/>
      <c r="L830" s="80"/>
      <c r="M830" s="80"/>
      <c r="N830" s="80"/>
      <c r="O830" s="80"/>
      <c r="P830" s="80"/>
      <c r="Q830" s="80"/>
      <c r="R830" s="80"/>
    </row>
    <row r="831">
      <c r="K831" s="80"/>
      <c r="L831" s="80"/>
      <c r="M831" s="80"/>
      <c r="N831" s="80"/>
      <c r="O831" s="80"/>
      <c r="P831" s="80"/>
      <c r="Q831" s="80"/>
      <c r="R831" s="80"/>
    </row>
    <row r="832">
      <c r="K832" s="80"/>
      <c r="L832" s="80"/>
      <c r="M832" s="80"/>
      <c r="N832" s="80"/>
      <c r="O832" s="80"/>
      <c r="P832" s="80"/>
      <c r="Q832" s="80"/>
      <c r="R832" s="80"/>
    </row>
    <row r="833">
      <c r="K833" s="80"/>
      <c r="L833" s="80"/>
      <c r="M833" s="80"/>
      <c r="N833" s="80"/>
      <c r="O833" s="80"/>
      <c r="P833" s="80"/>
      <c r="Q833" s="80"/>
      <c r="R833" s="80"/>
    </row>
    <row r="834">
      <c r="K834" s="80"/>
      <c r="L834" s="80"/>
      <c r="M834" s="80"/>
      <c r="N834" s="80"/>
      <c r="O834" s="80"/>
      <c r="P834" s="80"/>
      <c r="Q834" s="80"/>
      <c r="R834" s="80"/>
    </row>
    <row r="835">
      <c r="K835" s="80"/>
      <c r="L835" s="80"/>
      <c r="M835" s="80"/>
      <c r="N835" s="80"/>
      <c r="O835" s="80"/>
      <c r="P835" s="80"/>
      <c r="Q835" s="80"/>
      <c r="R835" s="80"/>
    </row>
    <row r="836">
      <c r="K836" s="80"/>
      <c r="L836" s="80"/>
      <c r="M836" s="80"/>
      <c r="N836" s="80"/>
      <c r="O836" s="80"/>
      <c r="P836" s="80"/>
      <c r="Q836" s="80"/>
      <c r="R836" s="80"/>
    </row>
    <row r="837">
      <c r="K837" s="80"/>
      <c r="L837" s="80"/>
      <c r="M837" s="80"/>
      <c r="N837" s="80"/>
      <c r="O837" s="80"/>
      <c r="P837" s="80"/>
      <c r="Q837" s="80"/>
      <c r="R837" s="80"/>
    </row>
    <row r="838">
      <c r="K838" s="80"/>
      <c r="L838" s="80"/>
      <c r="M838" s="80"/>
      <c r="N838" s="80"/>
      <c r="O838" s="80"/>
      <c r="P838" s="80"/>
      <c r="Q838" s="80"/>
      <c r="R838" s="80"/>
    </row>
    <row r="839">
      <c r="K839" s="80"/>
      <c r="L839" s="80"/>
      <c r="M839" s="80"/>
      <c r="N839" s="80"/>
      <c r="O839" s="80"/>
      <c r="P839" s="80"/>
      <c r="Q839" s="80"/>
      <c r="R839" s="80"/>
    </row>
    <row r="840">
      <c r="K840" s="80"/>
      <c r="L840" s="80"/>
      <c r="M840" s="80"/>
      <c r="N840" s="80"/>
      <c r="O840" s="80"/>
      <c r="P840" s="80"/>
      <c r="Q840" s="80"/>
      <c r="R840" s="80"/>
    </row>
    <row r="841">
      <c r="K841" s="80"/>
      <c r="L841" s="80"/>
      <c r="M841" s="80"/>
      <c r="N841" s="80"/>
      <c r="O841" s="80"/>
      <c r="P841" s="80"/>
      <c r="Q841" s="80"/>
      <c r="R841" s="80"/>
    </row>
    <row r="842">
      <c r="K842" s="80"/>
      <c r="L842" s="80"/>
      <c r="M842" s="80"/>
      <c r="N842" s="80"/>
      <c r="O842" s="80"/>
      <c r="P842" s="80"/>
      <c r="Q842" s="80"/>
      <c r="R842" s="80"/>
    </row>
    <row r="843">
      <c r="K843" s="80"/>
      <c r="L843" s="80"/>
      <c r="M843" s="80"/>
      <c r="N843" s="80"/>
      <c r="O843" s="80"/>
      <c r="P843" s="80"/>
      <c r="Q843" s="80"/>
      <c r="R843" s="80"/>
    </row>
    <row r="844">
      <c r="K844" s="80"/>
      <c r="L844" s="80"/>
      <c r="M844" s="80"/>
      <c r="N844" s="80"/>
      <c r="O844" s="80"/>
      <c r="P844" s="80"/>
      <c r="Q844" s="80"/>
      <c r="R844" s="80"/>
    </row>
    <row r="845">
      <c r="K845" s="80"/>
      <c r="L845" s="80"/>
      <c r="M845" s="80"/>
      <c r="N845" s="80"/>
      <c r="O845" s="80"/>
      <c r="P845" s="80"/>
      <c r="Q845" s="80"/>
      <c r="R845" s="80"/>
    </row>
    <row r="846">
      <c r="K846" s="80"/>
      <c r="L846" s="80"/>
      <c r="M846" s="80"/>
      <c r="N846" s="80"/>
      <c r="O846" s="80"/>
      <c r="P846" s="80"/>
      <c r="Q846" s="80"/>
      <c r="R846" s="80"/>
    </row>
    <row r="847">
      <c r="K847" s="80"/>
      <c r="L847" s="80"/>
      <c r="M847" s="80"/>
      <c r="N847" s="80"/>
      <c r="O847" s="80"/>
      <c r="P847" s="80"/>
      <c r="Q847" s="80"/>
      <c r="R847" s="80"/>
    </row>
    <row r="848">
      <c r="K848" s="80"/>
      <c r="L848" s="80"/>
      <c r="M848" s="80"/>
      <c r="N848" s="80"/>
      <c r="O848" s="80"/>
      <c r="P848" s="80"/>
      <c r="Q848" s="80"/>
      <c r="R848" s="80"/>
    </row>
    <row r="849">
      <c r="K849" s="80"/>
      <c r="L849" s="80"/>
      <c r="M849" s="80"/>
      <c r="N849" s="80"/>
      <c r="O849" s="80"/>
      <c r="P849" s="80"/>
      <c r="Q849" s="80"/>
      <c r="R849" s="80"/>
    </row>
    <row r="850">
      <c r="K850" s="80"/>
      <c r="L850" s="80"/>
      <c r="M850" s="80"/>
      <c r="N850" s="80"/>
      <c r="O850" s="80"/>
      <c r="P850" s="80"/>
      <c r="Q850" s="80"/>
      <c r="R850" s="80"/>
    </row>
    <row r="851">
      <c r="K851" s="80"/>
      <c r="L851" s="80"/>
      <c r="M851" s="80"/>
      <c r="N851" s="80"/>
      <c r="O851" s="80"/>
      <c r="P851" s="80"/>
      <c r="Q851" s="80"/>
      <c r="R851" s="80"/>
    </row>
    <row r="852">
      <c r="K852" s="80"/>
      <c r="L852" s="80"/>
      <c r="M852" s="80"/>
      <c r="N852" s="80"/>
      <c r="O852" s="80"/>
      <c r="P852" s="80"/>
      <c r="Q852" s="80"/>
      <c r="R852" s="80"/>
    </row>
    <row r="853">
      <c r="K853" s="80"/>
      <c r="L853" s="80"/>
      <c r="M853" s="80"/>
      <c r="N853" s="80"/>
      <c r="O853" s="80"/>
      <c r="P853" s="80"/>
      <c r="Q853" s="80"/>
      <c r="R853" s="80"/>
    </row>
    <row r="854">
      <c r="K854" s="80"/>
      <c r="L854" s="80"/>
      <c r="M854" s="80"/>
      <c r="N854" s="80"/>
      <c r="O854" s="80"/>
      <c r="P854" s="80"/>
      <c r="Q854" s="80"/>
      <c r="R854" s="80"/>
    </row>
    <row r="855">
      <c r="K855" s="80"/>
      <c r="L855" s="80"/>
      <c r="M855" s="80"/>
      <c r="N855" s="80"/>
      <c r="O855" s="80"/>
      <c r="P855" s="80"/>
      <c r="Q855" s="80"/>
      <c r="R855" s="80"/>
    </row>
    <row r="856">
      <c r="K856" s="80"/>
      <c r="L856" s="80"/>
      <c r="M856" s="80"/>
      <c r="N856" s="80"/>
      <c r="O856" s="80"/>
      <c r="P856" s="80"/>
      <c r="Q856" s="80"/>
      <c r="R856" s="80"/>
    </row>
    <row r="857">
      <c r="K857" s="80"/>
      <c r="L857" s="80"/>
      <c r="M857" s="80"/>
      <c r="N857" s="80"/>
      <c r="O857" s="80"/>
      <c r="P857" s="80"/>
      <c r="Q857" s="80"/>
      <c r="R857" s="80"/>
    </row>
    <row r="858">
      <c r="K858" s="80"/>
      <c r="L858" s="80"/>
      <c r="M858" s="80"/>
      <c r="N858" s="80"/>
      <c r="O858" s="80"/>
      <c r="P858" s="80"/>
      <c r="Q858" s="80"/>
      <c r="R858" s="80"/>
    </row>
    <row r="859">
      <c r="K859" s="80"/>
      <c r="L859" s="80"/>
      <c r="M859" s="80"/>
      <c r="N859" s="80"/>
      <c r="O859" s="80"/>
      <c r="P859" s="80"/>
      <c r="Q859" s="80"/>
      <c r="R859" s="80"/>
    </row>
    <row r="860">
      <c r="K860" s="80"/>
      <c r="L860" s="80"/>
      <c r="M860" s="80"/>
      <c r="N860" s="80"/>
      <c r="O860" s="80"/>
      <c r="P860" s="80"/>
      <c r="Q860" s="80"/>
      <c r="R860" s="80"/>
    </row>
    <row r="861">
      <c r="K861" s="80"/>
      <c r="L861" s="80"/>
      <c r="M861" s="80"/>
      <c r="N861" s="80"/>
      <c r="O861" s="80"/>
      <c r="P861" s="80"/>
      <c r="Q861" s="80"/>
      <c r="R861" s="80"/>
    </row>
    <row r="862">
      <c r="K862" s="80"/>
      <c r="L862" s="80"/>
      <c r="M862" s="80"/>
      <c r="N862" s="80"/>
      <c r="O862" s="80"/>
      <c r="P862" s="80"/>
      <c r="Q862" s="80"/>
      <c r="R862" s="80"/>
    </row>
    <row r="863">
      <c r="K863" s="80"/>
      <c r="L863" s="80"/>
      <c r="M863" s="80"/>
      <c r="N863" s="80"/>
      <c r="O863" s="80"/>
      <c r="P863" s="80"/>
      <c r="Q863" s="80"/>
      <c r="R863" s="80"/>
    </row>
    <row r="864">
      <c r="K864" s="80"/>
      <c r="L864" s="80"/>
      <c r="M864" s="80"/>
      <c r="N864" s="80"/>
      <c r="O864" s="80"/>
      <c r="P864" s="80"/>
      <c r="Q864" s="80"/>
      <c r="R864" s="80"/>
    </row>
    <row r="865">
      <c r="K865" s="80"/>
      <c r="L865" s="80"/>
      <c r="M865" s="80"/>
      <c r="N865" s="80"/>
      <c r="O865" s="80"/>
      <c r="P865" s="80"/>
      <c r="Q865" s="80"/>
      <c r="R865" s="80"/>
    </row>
    <row r="866">
      <c r="K866" s="80"/>
      <c r="L866" s="80"/>
      <c r="M866" s="80"/>
      <c r="N866" s="80"/>
      <c r="O866" s="80"/>
      <c r="P866" s="80"/>
      <c r="Q866" s="80"/>
      <c r="R866" s="80"/>
    </row>
    <row r="867">
      <c r="K867" s="80"/>
      <c r="L867" s="80"/>
      <c r="M867" s="80"/>
      <c r="N867" s="80"/>
      <c r="O867" s="80"/>
      <c r="P867" s="80"/>
      <c r="Q867" s="80"/>
      <c r="R867" s="80"/>
    </row>
    <row r="868">
      <c r="K868" s="80"/>
      <c r="L868" s="80"/>
      <c r="M868" s="80"/>
      <c r="N868" s="80"/>
      <c r="O868" s="80"/>
      <c r="P868" s="80"/>
      <c r="Q868" s="80"/>
      <c r="R868" s="80"/>
    </row>
    <row r="869">
      <c r="K869" s="80"/>
      <c r="L869" s="80"/>
      <c r="M869" s="80"/>
      <c r="N869" s="80"/>
      <c r="O869" s="80"/>
      <c r="P869" s="80"/>
      <c r="Q869" s="80"/>
      <c r="R869" s="80"/>
    </row>
    <row r="870">
      <c r="K870" s="80"/>
      <c r="L870" s="80"/>
      <c r="M870" s="80"/>
      <c r="N870" s="80"/>
      <c r="O870" s="80"/>
      <c r="P870" s="80"/>
      <c r="Q870" s="80"/>
      <c r="R870" s="80"/>
    </row>
    <row r="871">
      <c r="K871" s="80"/>
      <c r="L871" s="80"/>
      <c r="M871" s="80"/>
      <c r="N871" s="80"/>
      <c r="O871" s="80"/>
      <c r="P871" s="80"/>
      <c r="Q871" s="80"/>
      <c r="R871" s="80"/>
    </row>
    <row r="872">
      <c r="K872" s="80"/>
      <c r="L872" s="80"/>
      <c r="M872" s="80"/>
      <c r="N872" s="80"/>
      <c r="O872" s="80"/>
      <c r="P872" s="80"/>
      <c r="Q872" s="80"/>
      <c r="R872" s="80"/>
    </row>
    <row r="873">
      <c r="K873" s="80"/>
      <c r="L873" s="80"/>
      <c r="M873" s="80"/>
      <c r="N873" s="80"/>
      <c r="O873" s="80"/>
      <c r="P873" s="80"/>
      <c r="Q873" s="80"/>
      <c r="R873" s="80"/>
    </row>
    <row r="874">
      <c r="K874" s="80"/>
      <c r="L874" s="80"/>
      <c r="M874" s="80"/>
      <c r="N874" s="80"/>
      <c r="O874" s="80"/>
      <c r="P874" s="80"/>
      <c r="Q874" s="80"/>
      <c r="R874" s="80"/>
    </row>
    <row r="875">
      <c r="K875" s="80"/>
      <c r="L875" s="80"/>
      <c r="M875" s="80"/>
      <c r="N875" s="80"/>
      <c r="O875" s="80"/>
      <c r="P875" s="80"/>
      <c r="Q875" s="80"/>
      <c r="R875" s="80"/>
    </row>
    <row r="876">
      <c r="K876" s="80"/>
      <c r="L876" s="80"/>
      <c r="M876" s="80"/>
      <c r="N876" s="80"/>
      <c r="O876" s="80"/>
      <c r="P876" s="80"/>
      <c r="Q876" s="80"/>
      <c r="R876" s="80"/>
    </row>
    <row r="877">
      <c r="K877" s="80"/>
      <c r="L877" s="80"/>
      <c r="M877" s="80"/>
      <c r="N877" s="80"/>
      <c r="O877" s="80"/>
      <c r="P877" s="80"/>
      <c r="Q877" s="80"/>
      <c r="R877" s="80"/>
    </row>
    <row r="878">
      <c r="K878" s="80"/>
      <c r="L878" s="80"/>
      <c r="M878" s="80"/>
      <c r="N878" s="80"/>
      <c r="O878" s="80"/>
      <c r="P878" s="80"/>
      <c r="Q878" s="80"/>
      <c r="R878" s="80"/>
    </row>
    <row r="879">
      <c r="K879" s="80"/>
      <c r="L879" s="80"/>
      <c r="M879" s="80"/>
      <c r="N879" s="80"/>
      <c r="O879" s="80"/>
      <c r="P879" s="80"/>
      <c r="Q879" s="80"/>
      <c r="R879" s="80"/>
    </row>
    <row r="880">
      <c r="K880" s="80"/>
      <c r="L880" s="80"/>
      <c r="M880" s="80"/>
      <c r="N880" s="80"/>
      <c r="O880" s="80"/>
      <c r="P880" s="80"/>
      <c r="Q880" s="80"/>
      <c r="R880" s="80"/>
    </row>
    <row r="881">
      <c r="K881" s="80"/>
      <c r="L881" s="80"/>
      <c r="M881" s="80"/>
      <c r="N881" s="80"/>
      <c r="O881" s="80"/>
      <c r="P881" s="80"/>
      <c r="Q881" s="80"/>
      <c r="R881" s="80"/>
    </row>
    <row r="882">
      <c r="K882" s="80"/>
      <c r="L882" s="80"/>
      <c r="M882" s="80"/>
      <c r="N882" s="80"/>
      <c r="O882" s="80"/>
      <c r="P882" s="80"/>
      <c r="Q882" s="80"/>
      <c r="R882" s="80"/>
    </row>
    <row r="883">
      <c r="K883" s="80"/>
      <c r="L883" s="80"/>
      <c r="M883" s="80"/>
      <c r="N883" s="80"/>
      <c r="O883" s="80"/>
      <c r="P883" s="80"/>
      <c r="Q883" s="80"/>
      <c r="R883" s="80"/>
    </row>
    <row r="884">
      <c r="K884" s="80"/>
      <c r="L884" s="80"/>
      <c r="M884" s="80"/>
      <c r="N884" s="80"/>
      <c r="O884" s="80"/>
      <c r="P884" s="80"/>
      <c r="Q884" s="80"/>
      <c r="R884" s="80"/>
    </row>
    <row r="885">
      <c r="K885" s="80"/>
      <c r="L885" s="80"/>
      <c r="M885" s="80"/>
      <c r="N885" s="80"/>
      <c r="O885" s="80"/>
      <c r="P885" s="80"/>
      <c r="Q885" s="80"/>
      <c r="R885" s="80"/>
    </row>
    <row r="886">
      <c r="K886" s="80"/>
      <c r="L886" s="80"/>
      <c r="M886" s="80"/>
      <c r="N886" s="80"/>
      <c r="O886" s="80"/>
      <c r="P886" s="80"/>
      <c r="Q886" s="80"/>
      <c r="R886" s="80"/>
    </row>
    <row r="887">
      <c r="K887" s="80"/>
      <c r="L887" s="80"/>
      <c r="M887" s="80"/>
      <c r="N887" s="80"/>
      <c r="O887" s="80"/>
      <c r="P887" s="80"/>
      <c r="Q887" s="80"/>
      <c r="R887" s="80"/>
    </row>
    <row r="888">
      <c r="K888" s="80"/>
      <c r="L888" s="80"/>
      <c r="M888" s="80"/>
      <c r="N888" s="80"/>
      <c r="O888" s="80"/>
      <c r="P888" s="80"/>
      <c r="Q888" s="80"/>
      <c r="R888" s="80"/>
    </row>
    <row r="889">
      <c r="K889" s="80"/>
      <c r="L889" s="80"/>
      <c r="M889" s="80"/>
      <c r="N889" s="80"/>
      <c r="O889" s="80"/>
      <c r="P889" s="80"/>
      <c r="Q889" s="80"/>
      <c r="R889" s="80"/>
    </row>
    <row r="890">
      <c r="K890" s="80"/>
      <c r="L890" s="80"/>
      <c r="M890" s="80"/>
      <c r="N890" s="80"/>
      <c r="O890" s="80"/>
      <c r="P890" s="80"/>
      <c r="Q890" s="80"/>
      <c r="R890" s="80"/>
    </row>
    <row r="891">
      <c r="K891" s="80"/>
      <c r="L891" s="80"/>
      <c r="M891" s="80"/>
      <c r="N891" s="80"/>
      <c r="O891" s="80"/>
      <c r="P891" s="80"/>
      <c r="Q891" s="80"/>
      <c r="R891" s="80"/>
    </row>
    <row r="892">
      <c r="K892" s="80"/>
      <c r="L892" s="80"/>
      <c r="M892" s="80"/>
      <c r="N892" s="80"/>
      <c r="O892" s="80"/>
      <c r="P892" s="80"/>
      <c r="Q892" s="80"/>
      <c r="R892" s="80"/>
    </row>
    <row r="893">
      <c r="K893" s="80"/>
      <c r="L893" s="80"/>
      <c r="M893" s="80"/>
      <c r="N893" s="80"/>
      <c r="O893" s="80"/>
      <c r="P893" s="80"/>
      <c r="Q893" s="80"/>
      <c r="R893" s="80"/>
    </row>
    <row r="894">
      <c r="K894" s="80"/>
      <c r="L894" s="80"/>
      <c r="M894" s="80"/>
      <c r="N894" s="80"/>
      <c r="O894" s="80"/>
      <c r="P894" s="80"/>
      <c r="Q894" s="80"/>
      <c r="R894" s="80"/>
    </row>
    <row r="895">
      <c r="K895" s="80"/>
      <c r="L895" s="80"/>
      <c r="M895" s="80"/>
      <c r="N895" s="80"/>
      <c r="O895" s="80"/>
      <c r="P895" s="80"/>
      <c r="Q895" s="80"/>
      <c r="R895" s="80"/>
    </row>
    <row r="896">
      <c r="K896" s="80"/>
      <c r="L896" s="80"/>
      <c r="M896" s="80"/>
      <c r="N896" s="80"/>
      <c r="O896" s="80"/>
      <c r="P896" s="80"/>
      <c r="Q896" s="80"/>
      <c r="R896" s="80"/>
    </row>
    <row r="897">
      <c r="K897" s="80"/>
      <c r="L897" s="80"/>
      <c r="M897" s="80"/>
      <c r="N897" s="80"/>
      <c r="O897" s="80"/>
      <c r="P897" s="80"/>
      <c r="Q897" s="80"/>
      <c r="R897" s="80"/>
    </row>
    <row r="898">
      <c r="K898" s="80"/>
      <c r="L898" s="80"/>
      <c r="M898" s="80"/>
      <c r="N898" s="80"/>
      <c r="O898" s="80"/>
      <c r="P898" s="80"/>
      <c r="Q898" s="80"/>
      <c r="R898" s="80"/>
    </row>
    <row r="899">
      <c r="K899" s="80"/>
      <c r="L899" s="80"/>
      <c r="M899" s="80"/>
      <c r="N899" s="80"/>
      <c r="O899" s="80"/>
      <c r="P899" s="80"/>
      <c r="Q899" s="80"/>
      <c r="R899" s="80"/>
    </row>
    <row r="900">
      <c r="K900" s="80"/>
      <c r="L900" s="80"/>
      <c r="M900" s="80"/>
      <c r="N900" s="80"/>
      <c r="O900" s="80"/>
      <c r="P900" s="80"/>
      <c r="Q900" s="80"/>
      <c r="R900" s="80"/>
    </row>
    <row r="901">
      <c r="K901" s="80"/>
      <c r="L901" s="80"/>
      <c r="M901" s="80"/>
      <c r="N901" s="80"/>
      <c r="O901" s="80"/>
      <c r="P901" s="80"/>
      <c r="Q901" s="80"/>
      <c r="R901" s="80"/>
    </row>
    <row r="902">
      <c r="K902" s="80"/>
      <c r="L902" s="80"/>
      <c r="M902" s="80"/>
      <c r="N902" s="80"/>
      <c r="O902" s="80"/>
      <c r="P902" s="80"/>
      <c r="Q902" s="80"/>
      <c r="R902" s="80"/>
    </row>
    <row r="903">
      <c r="K903" s="80"/>
      <c r="L903" s="80"/>
      <c r="M903" s="80"/>
      <c r="N903" s="80"/>
      <c r="O903" s="80"/>
      <c r="P903" s="80"/>
      <c r="Q903" s="80"/>
      <c r="R903" s="80"/>
    </row>
    <row r="904">
      <c r="K904" s="80"/>
      <c r="L904" s="80"/>
      <c r="M904" s="80"/>
      <c r="N904" s="80"/>
      <c r="O904" s="80"/>
      <c r="P904" s="80"/>
      <c r="Q904" s="80"/>
      <c r="R904" s="80"/>
    </row>
    <row r="905">
      <c r="K905" s="80"/>
      <c r="L905" s="80"/>
      <c r="M905" s="80"/>
      <c r="N905" s="80"/>
      <c r="O905" s="80"/>
      <c r="P905" s="80"/>
      <c r="Q905" s="80"/>
      <c r="R905" s="80"/>
    </row>
    <row r="906">
      <c r="K906" s="80"/>
      <c r="L906" s="80"/>
      <c r="M906" s="80"/>
      <c r="N906" s="80"/>
      <c r="O906" s="80"/>
      <c r="P906" s="80"/>
      <c r="Q906" s="80"/>
      <c r="R906" s="80"/>
    </row>
    <row r="907">
      <c r="K907" s="80"/>
      <c r="L907" s="80"/>
      <c r="M907" s="80"/>
      <c r="N907" s="80"/>
      <c r="O907" s="80"/>
      <c r="P907" s="80"/>
      <c r="Q907" s="80"/>
      <c r="R907" s="80"/>
    </row>
    <row r="908">
      <c r="K908" s="80"/>
      <c r="L908" s="80"/>
      <c r="M908" s="80"/>
      <c r="N908" s="80"/>
      <c r="O908" s="80"/>
      <c r="P908" s="80"/>
      <c r="Q908" s="80"/>
      <c r="R908" s="80"/>
    </row>
    <row r="909">
      <c r="K909" s="80"/>
      <c r="L909" s="80"/>
      <c r="M909" s="80"/>
      <c r="N909" s="80"/>
      <c r="O909" s="80"/>
      <c r="P909" s="80"/>
      <c r="Q909" s="80"/>
      <c r="R909" s="80"/>
    </row>
    <row r="910">
      <c r="K910" s="80"/>
      <c r="L910" s="80"/>
      <c r="M910" s="80"/>
      <c r="N910" s="80"/>
      <c r="O910" s="80"/>
      <c r="P910" s="80"/>
      <c r="Q910" s="80"/>
      <c r="R910" s="80"/>
    </row>
    <row r="911">
      <c r="K911" s="80"/>
      <c r="L911" s="80"/>
      <c r="M911" s="80"/>
      <c r="N911" s="80"/>
      <c r="O911" s="80"/>
      <c r="P911" s="80"/>
      <c r="Q911" s="80"/>
      <c r="R911" s="80"/>
    </row>
    <row r="912">
      <c r="K912" s="80"/>
      <c r="L912" s="80"/>
      <c r="M912" s="80"/>
      <c r="N912" s="80"/>
      <c r="O912" s="80"/>
      <c r="P912" s="80"/>
      <c r="Q912" s="80"/>
      <c r="R912" s="80"/>
    </row>
    <row r="913">
      <c r="K913" s="80"/>
      <c r="L913" s="80"/>
      <c r="M913" s="80"/>
      <c r="N913" s="80"/>
      <c r="O913" s="80"/>
      <c r="P913" s="80"/>
      <c r="Q913" s="80"/>
      <c r="R913" s="80"/>
    </row>
    <row r="914">
      <c r="K914" s="80"/>
      <c r="L914" s="80"/>
      <c r="M914" s="80"/>
      <c r="N914" s="80"/>
      <c r="O914" s="80"/>
      <c r="P914" s="80"/>
      <c r="Q914" s="80"/>
      <c r="R914" s="80"/>
    </row>
    <row r="915">
      <c r="K915" s="80"/>
      <c r="L915" s="80"/>
      <c r="M915" s="80"/>
      <c r="N915" s="80"/>
      <c r="O915" s="80"/>
      <c r="P915" s="80"/>
      <c r="Q915" s="80"/>
      <c r="R915" s="80"/>
    </row>
    <row r="916">
      <c r="K916" s="80"/>
      <c r="L916" s="80"/>
      <c r="M916" s="80"/>
      <c r="N916" s="80"/>
      <c r="O916" s="80"/>
      <c r="P916" s="80"/>
      <c r="Q916" s="80"/>
      <c r="R916" s="80"/>
    </row>
    <row r="917">
      <c r="K917" s="80"/>
      <c r="L917" s="80"/>
      <c r="M917" s="80"/>
      <c r="N917" s="80"/>
      <c r="O917" s="80"/>
      <c r="P917" s="80"/>
      <c r="Q917" s="80"/>
      <c r="R917" s="80"/>
    </row>
    <row r="918">
      <c r="K918" s="80"/>
      <c r="L918" s="80"/>
      <c r="M918" s="80"/>
      <c r="N918" s="80"/>
      <c r="O918" s="80"/>
      <c r="P918" s="80"/>
      <c r="Q918" s="80"/>
      <c r="R918" s="80"/>
    </row>
    <row r="919">
      <c r="K919" s="80"/>
      <c r="L919" s="80"/>
      <c r="M919" s="80"/>
      <c r="N919" s="80"/>
      <c r="O919" s="80"/>
      <c r="P919" s="80"/>
      <c r="Q919" s="80"/>
      <c r="R919" s="80"/>
    </row>
    <row r="920">
      <c r="K920" s="80"/>
      <c r="L920" s="80"/>
      <c r="M920" s="80"/>
      <c r="N920" s="80"/>
      <c r="O920" s="80"/>
      <c r="P920" s="80"/>
      <c r="Q920" s="80"/>
      <c r="R920" s="80"/>
    </row>
    <row r="921">
      <c r="K921" s="80"/>
      <c r="L921" s="80"/>
      <c r="M921" s="80"/>
      <c r="N921" s="80"/>
      <c r="O921" s="80"/>
      <c r="P921" s="80"/>
      <c r="Q921" s="80"/>
      <c r="R921" s="80"/>
    </row>
    <row r="922">
      <c r="K922" s="80"/>
      <c r="L922" s="80"/>
      <c r="M922" s="80"/>
      <c r="N922" s="80"/>
      <c r="O922" s="80"/>
      <c r="P922" s="80"/>
      <c r="Q922" s="80"/>
      <c r="R922" s="80"/>
    </row>
    <row r="923">
      <c r="K923" s="80"/>
      <c r="L923" s="80"/>
      <c r="M923" s="80"/>
      <c r="N923" s="80"/>
      <c r="O923" s="80"/>
      <c r="P923" s="80"/>
      <c r="Q923" s="80"/>
      <c r="R923" s="80"/>
    </row>
    <row r="924">
      <c r="K924" s="80"/>
      <c r="L924" s="80"/>
      <c r="M924" s="80"/>
      <c r="N924" s="80"/>
      <c r="O924" s="80"/>
      <c r="P924" s="80"/>
      <c r="Q924" s="80"/>
      <c r="R924" s="80"/>
    </row>
    <row r="925">
      <c r="K925" s="80"/>
      <c r="L925" s="80"/>
      <c r="M925" s="80"/>
      <c r="N925" s="80"/>
      <c r="O925" s="80"/>
      <c r="P925" s="80"/>
      <c r="Q925" s="80"/>
      <c r="R925" s="80"/>
    </row>
    <row r="926">
      <c r="K926" s="80"/>
      <c r="L926" s="80"/>
      <c r="M926" s="80"/>
      <c r="N926" s="80"/>
      <c r="O926" s="80"/>
      <c r="P926" s="80"/>
      <c r="Q926" s="80"/>
      <c r="R926" s="80"/>
    </row>
    <row r="927">
      <c r="K927" s="80"/>
      <c r="L927" s="80"/>
      <c r="M927" s="80"/>
      <c r="N927" s="80"/>
      <c r="O927" s="80"/>
      <c r="P927" s="80"/>
      <c r="Q927" s="80"/>
      <c r="R927" s="80"/>
    </row>
    <row r="928">
      <c r="K928" s="80"/>
      <c r="L928" s="80"/>
      <c r="M928" s="80"/>
      <c r="N928" s="80"/>
      <c r="O928" s="80"/>
      <c r="P928" s="80"/>
      <c r="Q928" s="80"/>
      <c r="R928" s="80"/>
    </row>
    <row r="929">
      <c r="K929" s="80"/>
      <c r="L929" s="80"/>
      <c r="M929" s="80"/>
      <c r="N929" s="80"/>
      <c r="O929" s="80"/>
      <c r="P929" s="80"/>
      <c r="Q929" s="80"/>
      <c r="R929" s="80"/>
    </row>
    <row r="930">
      <c r="K930" s="80"/>
      <c r="L930" s="80"/>
      <c r="M930" s="80"/>
      <c r="N930" s="80"/>
      <c r="O930" s="80"/>
      <c r="P930" s="80"/>
      <c r="Q930" s="80"/>
      <c r="R930" s="80"/>
    </row>
    <row r="931">
      <c r="K931" s="80"/>
      <c r="L931" s="80"/>
      <c r="M931" s="80"/>
      <c r="N931" s="80"/>
      <c r="O931" s="80"/>
      <c r="P931" s="80"/>
      <c r="Q931" s="80"/>
      <c r="R931" s="80"/>
    </row>
    <row r="932">
      <c r="K932" s="80"/>
      <c r="L932" s="80"/>
      <c r="M932" s="80"/>
      <c r="N932" s="80"/>
      <c r="O932" s="80"/>
      <c r="P932" s="80"/>
      <c r="Q932" s="80"/>
      <c r="R932" s="80"/>
    </row>
    <row r="933">
      <c r="K933" s="80"/>
      <c r="L933" s="80"/>
      <c r="M933" s="80"/>
      <c r="N933" s="80"/>
      <c r="O933" s="80"/>
      <c r="P933" s="80"/>
      <c r="Q933" s="80"/>
      <c r="R933" s="80"/>
    </row>
    <row r="934">
      <c r="K934" s="80"/>
      <c r="L934" s="80"/>
      <c r="M934" s="80"/>
      <c r="N934" s="80"/>
      <c r="O934" s="80"/>
      <c r="P934" s="80"/>
      <c r="Q934" s="80"/>
      <c r="R934" s="80"/>
    </row>
    <row r="935">
      <c r="K935" s="80"/>
      <c r="L935" s="80"/>
      <c r="M935" s="80"/>
      <c r="N935" s="80"/>
      <c r="O935" s="80"/>
      <c r="P935" s="80"/>
      <c r="Q935" s="80"/>
      <c r="R935" s="80"/>
    </row>
    <row r="936">
      <c r="K936" s="80"/>
      <c r="L936" s="80"/>
      <c r="M936" s="80"/>
      <c r="N936" s="80"/>
      <c r="O936" s="80"/>
      <c r="P936" s="80"/>
      <c r="Q936" s="80"/>
      <c r="R936" s="80"/>
    </row>
    <row r="937">
      <c r="K937" s="80"/>
      <c r="L937" s="80"/>
      <c r="M937" s="80"/>
      <c r="N937" s="80"/>
      <c r="O937" s="80"/>
      <c r="P937" s="80"/>
      <c r="Q937" s="80"/>
      <c r="R937" s="80"/>
    </row>
    <row r="938">
      <c r="K938" s="80"/>
      <c r="L938" s="80"/>
      <c r="M938" s="80"/>
      <c r="N938" s="80"/>
      <c r="O938" s="80"/>
      <c r="P938" s="80"/>
      <c r="Q938" s="80"/>
      <c r="R938" s="80"/>
    </row>
    <row r="939">
      <c r="K939" s="80"/>
      <c r="L939" s="80"/>
      <c r="M939" s="80"/>
      <c r="N939" s="80"/>
      <c r="O939" s="80"/>
      <c r="P939" s="80"/>
      <c r="Q939" s="80"/>
      <c r="R939" s="80"/>
    </row>
    <row r="940">
      <c r="K940" s="80"/>
      <c r="L940" s="80"/>
      <c r="M940" s="80"/>
      <c r="N940" s="80"/>
      <c r="O940" s="80"/>
      <c r="P940" s="80"/>
      <c r="Q940" s="80"/>
      <c r="R940" s="80"/>
    </row>
    <row r="941">
      <c r="K941" s="80"/>
      <c r="L941" s="80"/>
      <c r="M941" s="80"/>
      <c r="N941" s="80"/>
      <c r="O941" s="80"/>
      <c r="P941" s="80"/>
      <c r="Q941" s="80"/>
      <c r="R941" s="80"/>
    </row>
    <row r="942">
      <c r="K942" s="80"/>
      <c r="L942" s="80"/>
      <c r="M942" s="80"/>
      <c r="N942" s="80"/>
      <c r="O942" s="80"/>
      <c r="P942" s="80"/>
      <c r="Q942" s="80"/>
      <c r="R942" s="80"/>
    </row>
    <row r="943">
      <c r="K943" s="80"/>
      <c r="L943" s="80"/>
      <c r="M943" s="80"/>
      <c r="N943" s="80"/>
      <c r="O943" s="80"/>
      <c r="P943" s="80"/>
      <c r="Q943" s="80"/>
      <c r="R943" s="80"/>
    </row>
    <row r="944">
      <c r="K944" s="80"/>
      <c r="L944" s="80"/>
      <c r="M944" s="80"/>
      <c r="N944" s="80"/>
      <c r="O944" s="80"/>
      <c r="P944" s="80"/>
      <c r="Q944" s="80"/>
      <c r="R944" s="80"/>
    </row>
    <row r="945">
      <c r="K945" s="80"/>
      <c r="L945" s="80"/>
      <c r="M945" s="80"/>
      <c r="N945" s="80"/>
      <c r="O945" s="80"/>
      <c r="P945" s="80"/>
      <c r="Q945" s="80"/>
      <c r="R945" s="80"/>
    </row>
    <row r="946">
      <c r="K946" s="80"/>
      <c r="L946" s="80"/>
      <c r="M946" s="80"/>
      <c r="N946" s="80"/>
      <c r="O946" s="80"/>
      <c r="P946" s="80"/>
      <c r="Q946" s="80"/>
      <c r="R946" s="80"/>
    </row>
    <row r="947">
      <c r="K947" s="80"/>
      <c r="L947" s="80"/>
      <c r="M947" s="80"/>
      <c r="N947" s="80"/>
      <c r="O947" s="80"/>
      <c r="P947" s="80"/>
      <c r="Q947" s="80"/>
      <c r="R947" s="80"/>
    </row>
    <row r="948">
      <c r="K948" s="80"/>
      <c r="L948" s="80"/>
      <c r="M948" s="80"/>
      <c r="N948" s="80"/>
      <c r="O948" s="80"/>
      <c r="P948" s="80"/>
      <c r="Q948" s="80"/>
      <c r="R948" s="80"/>
    </row>
    <row r="949">
      <c r="K949" s="80"/>
      <c r="L949" s="80"/>
      <c r="M949" s="80"/>
      <c r="N949" s="80"/>
      <c r="O949" s="80"/>
      <c r="P949" s="80"/>
      <c r="Q949" s="80"/>
      <c r="R949" s="80"/>
    </row>
    <row r="950">
      <c r="K950" s="80"/>
      <c r="L950" s="80"/>
      <c r="M950" s="80"/>
      <c r="N950" s="80"/>
      <c r="O950" s="80"/>
      <c r="P950" s="80"/>
      <c r="Q950" s="80"/>
      <c r="R950" s="80"/>
    </row>
    <row r="951">
      <c r="K951" s="80"/>
      <c r="L951" s="80"/>
      <c r="M951" s="80"/>
      <c r="N951" s="80"/>
      <c r="O951" s="80"/>
      <c r="P951" s="80"/>
      <c r="Q951" s="80"/>
      <c r="R951" s="80"/>
    </row>
    <row r="952">
      <c r="K952" s="80"/>
      <c r="L952" s="80"/>
      <c r="M952" s="80"/>
      <c r="N952" s="80"/>
      <c r="O952" s="80"/>
      <c r="P952" s="80"/>
      <c r="Q952" s="80"/>
      <c r="R952" s="80"/>
    </row>
    <row r="953">
      <c r="K953" s="80"/>
      <c r="L953" s="80"/>
      <c r="M953" s="80"/>
      <c r="N953" s="80"/>
      <c r="O953" s="80"/>
      <c r="P953" s="80"/>
      <c r="Q953" s="80"/>
      <c r="R953" s="80"/>
    </row>
    <row r="954">
      <c r="K954" s="80"/>
      <c r="L954" s="80"/>
      <c r="M954" s="80"/>
      <c r="N954" s="80"/>
      <c r="O954" s="80"/>
      <c r="P954" s="80"/>
      <c r="Q954" s="80"/>
      <c r="R954" s="80"/>
    </row>
    <row r="955">
      <c r="K955" s="80"/>
      <c r="L955" s="80"/>
      <c r="M955" s="80"/>
      <c r="N955" s="80"/>
      <c r="O955" s="80"/>
      <c r="P955" s="80"/>
      <c r="Q955" s="80"/>
      <c r="R955" s="80"/>
    </row>
    <row r="956">
      <c r="K956" s="80"/>
      <c r="L956" s="80"/>
      <c r="M956" s="80"/>
      <c r="N956" s="80"/>
      <c r="O956" s="80"/>
      <c r="P956" s="80"/>
      <c r="Q956" s="80"/>
      <c r="R956" s="80"/>
    </row>
    <row r="957">
      <c r="K957" s="80"/>
      <c r="L957" s="80"/>
      <c r="M957" s="80"/>
      <c r="N957" s="80"/>
      <c r="O957" s="80"/>
      <c r="P957" s="80"/>
      <c r="Q957" s="80"/>
      <c r="R957" s="80"/>
    </row>
    <row r="958">
      <c r="K958" s="80"/>
      <c r="L958" s="80"/>
      <c r="M958" s="80"/>
      <c r="N958" s="80"/>
      <c r="O958" s="80"/>
      <c r="P958" s="80"/>
      <c r="Q958" s="80"/>
      <c r="R958" s="80"/>
    </row>
    <row r="959">
      <c r="K959" s="80"/>
      <c r="L959" s="80"/>
      <c r="M959" s="80"/>
      <c r="N959" s="80"/>
      <c r="O959" s="80"/>
      <c r="P959" s="80"/>
      <c r="Q959" s="80"/>
      <c r="R959" s="80"/>
    </row>
    <row r="960">
      <c r="K960" s="80"/>
      <c r="L960" s="80"/>
      <c r="M960" s="80"/>
      <c r="N960" s="80"/>
      <c r="O960" s="80"/>
      <c r="P960" s="80"/>
      <c r="Q960" s="80"/>
      <c r="R960" s="80"/>
    </row>
    <row r="961">
      <c r="K961" s="80"/>
      <c r="L961" s="80"/>
      <c r="M961" s="80"/>
      <c r="N961" s="80"/>
      <c r="O961" s="80"/>
      <c r="P961" s="80"/>
      <c r="Q961" s="80"/>
      <c r="R961" s="80"/>
    </row>
    <row r="962">
      <c r="K962" s="80"/>
      <c r="L962" s="80"/>
      <c r="M962" s="80"/>
      <c r="N962" s="80"/>
      <c r="O962" s="80"/>
      <c r="P962" s="80"/>
      <c r="Q962" s="80"/>
      <c r="R962" s="80"/>
    </row>
    <row r="963">
      <c r="K963" s="80"/>
      <c r="L963" s="80"/>
      <c r="M963" s="80"/>
      <c r="N963" s="80"/>
      <c r="O963" s="80"/>
      <c r="P963" s="80"/>
      <c r="Q963" s="80"/>
      <c r="R963" s="80"/>
    </row>
    <row r="964">
      <c r="K964" s="80"/>
      <c r="L964" s="80"/>
      <c r="M964" s="80"/>
      <c r="N964" s="80"/>
      <c r="O964" s="80"/>
      <c r="P964" s="80"/>
      <c r="Q964" s="80"/>
      <c r="R964" s="80"/>
    </row>
    <row r="965">
      <c r="K965" s="80"/>
      <c r="L965" s="80"/>
      <c r="M965" s="80"/>
      <c r="N965" s="80"/>
      <c r="O965" s="80"/>
      <c r="P965" s="80"/>
      <c r="Q965" s="80"/>
      <c r="R965" s="80"/>
    </row>
    <row r="966">
      <c r="K966" s="80"/>
      <c r="L966" s="80"/>
      <c r="M966" s="80"/>
      <c r="N966" s="80"/>
      <c r="O966" s="80"/>
      <c r="P966" s="80"/>
      <c r="Q966" s="80"/>
      <c r="R966" s="80"/>
    </row>
    <row r="967">
      <c r="K967" s="80"/>
      <c r="L967" s="80"/>
      <c r="M967" s="80"/>
      <c r="N967" s="80"/>
      <c r="O967" s="80"/>
      <c r="P967" s="80"/>
      <c r="Q967" s="80"/>
      <c r="R967" s="80"/>
    </row>
    <row r="968">
      <c r="K968" s="80"/>
      <c r="L968" s="80"/>
      <c r="M968" s="80"/>
      <c r="N968" s="80"/>
      <c r="O968" s="80"/>
      <c r="P968" s="80"/>
      <c r="Q968" s="80"/>
      <c r="R968" s="80"/>
    </row>
    <row r="969">
      <c r="K969" s="80"/>
      <c r="L969" s="80"/>
      <c r="M969" s="80"/>
      <c r="N969" s="80"/>
      <c r="O969" s="80"/>
      <c r="P969" s="80"/>
      <c r="Q969" s="80"/>
      <c r="R969" s="80"/>
    </row>
    <row r="970">
      <c r="K970" s="80"/>
      <c r="L970" s="80"/>
      <c r="M970" s="80"/>
      <c r="N970" s="80"/>
      <c r="O970" s="80"/>
      <c r="P970" s="80"/>
      <c r="Q970" s="80"/>
      <c r="R970" s="80"/>
    </row>
    <row r="971">
      <c r="K971" s="80"/>
      <c r="L971" s="80"/>
      <c r="M971" s="80"/>
      <c r="N971" s="80"/>
      <c r="O971" s="80"/>
      <c r="P971" s="80"/>
      <c r="Q971" s="80"/>
      <c r="R971" s="80"/>
    </row>
    <row r="972">
      <c r="K972" s="80"/>
      <c r="L972" s="80"/>
      <c r="M972" s="80"/>
      <c r="N972" s="80"/>
      <c r="O972" s="80"/>
      <c r="P972" s="80"/>
      <c r="Q972" s="80"/>
      <c r="R972" s="80"/>
    </row>
    <row r="973">
      <c r="K973" s="80"/>
      <c r="L973" s="80"/>
      <c r="M973" s="80"/>
      <c r="N973" s="80"/>
      <c r="O973" s="80"/>
      <c r="P973" s="80"/>
      <c r="Q973" s="80"/>
      <c r="R973" s="80"/>
    </row>
    <row r="974">
      <c r="K974" s="80"/>
      <c r="L974" s="80"/>
      <c r="M974" s="80"/>
      <c r="N974" s="80"/>
      <c r="O974" s="80"/>
      <c r="P974" s="80"/>
      <c r="Q974" s="80"/>
      <c r="R974" s="80"/>
    </row>
    <row r="975">
      <c r="K975" s="80"/>
      <c r="L975" s="80"/>
      <c r="M975" s="80"/>
      <c r="N975" s="80"/>
      <c r="O975" s="80"/>
      <c r="P975" s="80"/>
      <c r="Q975" s="80"/>
      <c r="R975" s="80"/>
    </row>
    <row r="976">
      <c r="K976" s="80"/>
      <c r="L976" s="80"/>
      <c r="M976" s="80"/>
      <c r="N976" s="80"/>
      <c r="O976" s="80"/>
      <c r="P976" s="80"/>
      <c r="Q976" s="80"/>
      <c r="R976" s="80"/>
    </row>
    <row r="977">
      <c r="K977" s="80"/>
      <c r="L977" s="80"/>
      <c r="M977" s="80"/>
      <c r="N977" s="80"/>
      <c r="O977" s="80"/>
      <c r="P977" s="80"/>
      <c r="Q977" s="80"/>
      <c r="R977" s="80"/>
    </row>
    <row r="978">
      <c r="K978" s="80"/>
      <c r="L978" s="80"/>
      <c r="M978" s="80"/>
      <c r="N978" s="80"/>
      <c r="O978" s="80"/>
      <c r="P978" s="80"/>
      <c r="Q978" s="80"/>
      <c r="R978" s="80"/>
    </row>
    <row r="979">
      <c r="K979" s="80"/>
      <c r="L979" s="80"/>
      <c r="M979" s="80"/>
      <c r="N979" s="80"/>
      <c r="O979" s="80"/>
      <c r="P979" s="80"/>
      <c r="Q979" s="80"/>
      <c r="R979" s="80"/>
    </row>
    <row r="980">
      <c r="K980" s="80"/>
      <c r="L980" s="80"/>
      <c r="M980" s="80"/>
      <c r="N980" s="80"/>
      <c r="O980" s="80"/>
      <c r="P980" s="80"/>
      <c r="Q980" s="80"/>
      <c r="R980" s="80"/>
    </row>
    <row r="981">
      <c r="K981" s="80"/>
      <c r="L981" s="80"/>
      <c r="M981" s="80"/>
      <c r="N981" s="80"/>
      <c r="O981" s="80"/>
      <c r="P981" s="80"/>
      <c r="Q981" s="80"/>
      <c r="R981" s="80"/>
    </row>
    <row r="982">
      <c r="K982" s="80"/>
      <c r="L982" s="80"/>
      <c r="M982" s="80"/>
      <c r="N982" s="80"/>
      <c r="O982" s="80"/>
      <c r="P982" s="80"/>
      <c r="Q982" s="80"/>
      <c r="R982" s="80"/>
    </row>
    <row r="983">
      <c r="K983" s="80"/>
      <c r="L983" s="80"/>
      <c r="M983" s="80"/>
      <c r="N983" s="80"/>
      <c r="O983" s="80"/>
      <c r="P983" s="80"/>
      <c r="Q983" s="80"/>
      <c r="R983" s="80"/>
    </row>
    <row r="984">
      <c r="K984" s="80"/>
      <c r="L984" s="80"/>
      <c r="M984" s="80"/>
      <c r="N984" s="80"/>
      <c r="O984" s="80"/>
      <c r="P984" s="80"/>
      <c r="Q984" s="80"/>
      <c r="R984" s="80"/>
    </row>
    <row r="985">
      <c r="K985" s="80"/>
      <c r="L985" s="80"/>
      <c r="M985" s="80"/>
      <c r="N985" s="80"/>
      <c r="O985" s="80"/>
      <c r="P985" s="80"/>
      <c r="Q985" s="80"/>
      <c r="R985" s="80"/>
    </row>
    <row r="986">
      <c r="K986" s="80"/>
      <c r="L986" s="80"/>
      <c r="M986" s="80"/>
      <c r="N986" s="80"/>
      <c r="O986" s="80"/>
      <c r="P986" s="80"/>
      <c r="Q986" s="80"/>
      <c r="R986" s="80"/>
    </row>
    <row r="987">
      <c r="K987" s="80"/>
      <c r="L987" s="80"/>
      <c r="M987" s="80"/>
      <c r="N987" s="80"/>
      <c r="O987" s="80"/>
      <c r="P987" s="80"/>
      <c r="Q987" s="80"/>
      <c r="R987" s="80"/>
    </row>
    <row r="988">
      <c r="K988" s="80"/>
      <c r="L988" s="80"/>
      <c r="M988" s="80"/>
      <c r="N988" s="80"/>
      <c r="O988" s="80"/>
      <c r="P988" s="80"/>
      <c r="Q988" s="80"/>
      <c r="R988" s="80"/>
    </row>
    <row r="989">
      <c r="K989" s="80"/>
      <c r="L989" s="80"/>
      <c r="M989" s="80"/>
      <c r="N989" s="80"/>
      <c r="O989" s="80"/>
      <c r="P989" s="80"/>
      <c r="Q989" s="80"/>
      <c r="R989" s="80"/>
    </row>
    <row r="990">
      <c r="K990" s="80"/>
      <c r="L990" s="80"/>
      <c r="M990" s="80"/>
      <c r="N990" s="80"/>
      <c r="O990" s="80"/>
      <c r="P990" s="80"/>
      <c r="Q990" s="80"/>
      <c r="R990" s="80"/>
    </row>
    <row r="991">
      <c r="K991" s="80"/>
      <c r="L991" s="80"/>
      <c r="M991" s="80"/>
      <c r="N991" s="80"/>
      <c r="O991" s="80"/>
      <c r="P991" s="80"/>
      <c r="Q991" s="80"/>
      <c r="R991" s="80"/>
    </row>
    <row r="992">
      <c r="K992" s="80"/>
      <c r="L992" s="80"/>
      <c r="M992" s="80"/>
      <c r="N992" s="80"/>
      <c r="O992" s="80"/>
      <c r="P992" s="80"/>
      <c r="Q992" s="80"/>
      <c r="R992" s="80"/>
    </row>
    <row r="993">
      <c r="K993" s="80"/>
      <c r="L993" s="80"/>
      <c r="M993" s="80"/>
      <c r="N993" s="80"/>
      <c r="O993" s="80"/>
      <c r="P993" s="80"/>
      <c r="Q993" s="80"/>
      <c r="R993" s="80"/>
    </row>
    <row r="994">
      <c r="K994" s="80"/>
      <c r="L994" s="80"/>
      <c r="M994" s="80"/>
      <c r="N994" s="80"/>
      <c r="O994" s="80"/>
      <c r="P994" s="80"/>
      <c r="Q994" s="80"/>
      <c r="R994" s="80"/>
    </row>
    <row r="995">
      <c r="K995" s="80"/>
      <c r="L995" s="80"/>
      <c r="M995" s="80"/>
      <c r="N995" s="80"/>
      <c r="O995" s="80"/>
      <c r="P995" s="80"/>
      <c r="Q995" s="80"/>
      <c r="R995" s="80"/>
    </row>
    <row r="996">
      <c r="K996" s="80"/>
      <c r="L996" s="80"/>
      <c r="M996" s="80"/>
      <c r="N996" s="80"/>
      <c r="O996" s="80"/>
      <c r="P996" s="80"/>
      <c r="Q996" s="80"/>
      <c r="R996" s="80"/>
    </row>
    <row r="997">
      <c r="K997" s="80"/>
      <c r="L997" s="80"/>
      <c r="M997" s="80"/>
      <c r="N997" s="80"/>
      <c r="O997" s="80"/>
      <c r="P997" s="80"/>
      <c r="Q997" s="80"/>
      <c r="R997" s="80"/>
    </row>
    <row r="998">
      <c r="K998" s="80"/>
      <c r="L998" s="80"/>
      <c r="M998" s="80"/>
      <c r="N998" s="80"/>
      <c r="O998" s="80"/>
      <c r="P998" s="80"/>
      <c r="Q998" s="80"/>
      <c r="R998" s="80"/>
    </row>
    <row r="999">
      <c r="K999" s="80"/>
      <c r="L999" s="80"/>
      <c r="M999" s="80"/>
      <c r="N999" s="80"/>
      <c r="O999" s="80"/>
      <c r="P999" s="80"/>
      <c r="Q999" s="80"/>
      <c r="R999" s="80"/>
    </row>
    <row r="1000">
      <c r="K1000" s="80"/>
      <c r="L1000" s="80"/>
      <c r="M1000" s="80"/>
      <c r="N1000" s="80"/>
      <c r="O1000" s="80"/>
      <c r="P1000" s="80"/>
      <c r="Q1000" s="80"/>
      <c r="R1000" s="80"/>
    </row>
  </sheetData>
  <mergeCells count="12">
    <mergeCell ref="A20:A24"/>
    <mergeCell ref="A26:A30"/>
    <mergeCell ref="B27:B30"/>
    <mergeCell ref="A32:A36"/>
    <mergeCell ref="B33:B36"/>
    <mergeCell ref="A2:A6"/>
    <mergeCell ref="B3:B6"/>
    <mergeCell ref="A8:A12"/>
    <mergeCell ref="B9:B12"/>
    <mergeCell ref="A14:A18"/>
    <mergeCell ref="B15:B18"/>
    <mergeCell ref="B21:B24"/>
  </mergeCells>
  <conditionalFormatting sqref="D2:G36">
    <cfRule type="expression" dxfId="0" priority="1">
      <formula>AND(D2&lt;&gt;"",COUNTIF($D2:$G2,D2)&gt;1)</formula>
    </cfRule>
  </conditionalFormatting>
  <dataValidations>
    <dataValidation type="list" allowBlank="1" showErrorMessage="1" sqref="D2:G6 D8:G12 D14:G18 D20:G24 D26:G30 D32:G36">
      <formula1>Devs!$B$2:$B$100</formula1>
    </dataValidation>
    <dataValidation type="list" allowBlank="1" showErrorMessage="1" sqref="I2:I6 I8:I12 I14:I18 I20:I24 I26:I30 I32:I36">
      <formula1>"1,2,3,4,5"</formula1>
    </dataValidation>
    <dataValidation type="list" allowBlank="1" showErrorMessage="1" sqref="H2:H6 H8:H12 H14:H18 H20:H24 H26:H30 H32:H36">
      <formula1>"0,1,2,3,4,5"</formula1>
    </dataValidation>
    <dataValidation type="list" allowBlank="1" showErrorMessage="1" sqref="A2 A8 A14 A20 A26 A32">
      <formula1>"P_,P1,P2,P3,P4,P5,P6"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9.13"/>
    <col customWidth="1" min="3" max="3" width="8.25"/>
    <col customWidth="1" min="4" max="4" width="67.5"/>
  </cols>
  <sheetData>
    <row r="1">
      <c r="A1" s="47" t="s">
        <v>326</v>
      </c>
      <c r="B1" s="47" t="s">
        <v>327</v>
      </c>
      <c r="C1" s="48" t="s">
        <v>328</v>
      </c>
      <c r="D1" s="49" t="s">
        <v>330</v>
      </c>
      <c r="E1" s="47" t="s">
        <v>331</v>
      </c>
      <c r="F1" s="50" t="s">
        <v>332</v>
      </c>
      <c r="G1" s="50" t="s">
        <v>333</v>
      </c>
      <c r="H1" s="50" t="s">
        <v>334</v>
      </c>
      <c r="I1" s="47" t="s">
        <v>335</v>
      </c>
      <c r="J1" s="47" t="s">
        <v>336</v>
      </c>
      <c r="K1" s="47" t="s">
        <v>337</v>
      </c>
      <c r="L1" s="47" t="s">
        <v>338</v>
      </c>
    </row>
    <row r="2" hidden="1">
      <c r="A2" s="51" t="s">
        <v>81</v>
      </c>
      <c r="B2" s="52"/>
      <c r="C2" s="53"/>
      <c r="D2" s="52"/>
      <c r="E2" s="52"/>
      <c r="F2" s="52"/>
      <c r="G2" s="52"/>
      <c r="H2" s="52"/>
      <c r="I2" s="52"/>
      <c r="J2" s="52"/>
      <c r="K2" s="52"/>
      <c r="L2" s="52"/>
    </row>
    <row r="3" hidden="1">
      <c r="A3" s="55" t="s">
        <v>81</v>
      </c>
      <c r="B3" s="56" t="s">
        <v>187</v>
      </c>
      <c r="C3" s="57" t="s">
        <v>341</v>
      </c>
      <c r="D3" s="57" t="s">
        <v>342</v>
      </c>
      <c r="E3" s="58">
        <v>0.16</v>
      </c>
      <c r="F3" s="58">
        <v>3.0</v>
      </c>
      <c r="G3" s="58">
        <v>2.0</v>
      </c>
      <c r="H3" s="59">
        <v>-1.0</v>
      </c>
      <c r="I3" s="58" t="s">
        <v>343</v>
      </c>
      <c r="J3" s="60"/>
      <c r="K3" s="60"/>
      <c r="L3" s="60"/>
    </row>
    <row r="4" hidden="1">
      <c r="A4" s="55" t="s">
        <v>81</v>
      </c>
      <c r="B4" s="56" t="s">
        <v>292</v>
      </c>
      <c r="C4" s="57" t="s">
        <v>344</v>
      </c>
      <c r="D4" s="57" t="s">
        <v>345</v>
      </c>
      <c r="E4" s="58">
        <v>0.11</v>
      </c>
      <c r="F4" s="58">
        <v>4.0</v>
      </c>
      <c r="G4" s="58">
        <v>5.0</v>
      </c>
      <c r="H4" s="61">
        <v>1.0</v>
      </c>
      <c r="I4" s="58" t="s">
        <v>343</v>
      </c>
      <c r="J4" s="60"/>
      <c r="K4" s="60"/>
      <c r="L4" s="60"/>
    </row>
    <row r="5" hidden="1">
      <c r="A5" s="62" t="s">
        <v>81</v>
      </c>
      <c r="B5" s="63" t="s">
        <v>294</v>
      </c>
      <c r="C5" s="64" t="s">
        <v>346</v>
      </c>
      <c r="D5" s="64" t="s">
        <v>347</v>
      </c>
      <c r="E5" s="65">
        <v>0.12</v>
      </c>
      <c r="F5" s="65">
        <v>4.0</v>
      </c>
      <c r="G5" s="65">
        <v>4.0</v>
      </c>
      <c r="H5" s="65">
        <v>0.0</v>
      </c>
      <c r="I5" s="65" t="s">
        <v>348</v>
      </c>
      <c r="J5" s="65" t="s">
        <v>349</v>
      </c>
      <c r="K5" s="65" t="s">
        <v>349</v>
      </c>
      <c r="L5" s="65" t="s">
        <v>349</v>
      </c>
    </row>
    <row r="6" hidden="1">
      <c r="A6" s="62" t="s">
        <v>81</v>
      </c>
      <c r="B6" s="63" t="s">
        <v>296</v>
      </c>
      <c r="C6" s="64" t="s">
        <v>351</v>
      </c>
      <c r="D6" s="64" t="s">
        <v>352</v>
      </c>
      <c r="E6" s="65">
        <v>0.54</v>
      </c>
      <c r="F6" s="65">
        <v>1.0</v>
      </c>
      <c r="G6" s="65">
        <v>1.0</v>
      </c>
      <c r="H6" s="65">
        <v>0.0</v>
      </c>
      <c r="I6" s="65" t="s">
        <v>348</v>
      </c>
      <c r="J6" s="65" t="s">
        <v>349</v>
      </c>
      <c r="K6" s="65" t="s">
        <v>349</v>
      </c>
      <c r="L6" s="65" t="s">
        <v>349</v>
      </c>
    </row>
    <row r="7" hidden="1">
      <c r="A7" s="55" t="s">
        <v>81</v>
      </c>
      <c r="B7" s="56" t="s">
        <v>298</v>
      </c>
      <c r="C7" s="57" t="s">
        <v>357</v>
      </c>
      <c r="D7" s="57" t="s">
        <v>358</v>
      </c>
      <c r="E7" s="58">
        <v>0.13</v>
      </c>
      <c r="F7" s="58">
        <v>2.0</v>
      </c>
      <c r="G7" s="58">
        <v>3.0</v>
      </c>
      <c r="H7" s="61">
        <v>1.0</v>
      </c>
      <c r="I7" s="58" t="s">
        <v>343</v>
      </c>
      <c r="J7" s="60"/>
      <c r="K7" s="60"/>
      <c r="L7" s="60"/>
    </row>
    <row r="8">
      <c r="A8" s="51" t="s">
        <v>104</v>
      </c>
      <c r="B8" s="52"/>
      <c r="C8" s="53"/>
      <c r="D8" s="53"/>
      <c r="E8" s="52"/>
      <c r="F8" s="52"/>
      <c r="G8" s="52"/>
      <c r="H8" s="52"/>
      <c r="I8" s="52"/>
      <c r="J8" s="52"/>
      <c r="K8" s="52"/>
      <c r="L8" s="52"/>
    </row>
    <row r="9">
      <c r="A9" s="55" t="s">
        <v>104</v>
      </c>
      <c r="B9" s="56" t="s">
        <v>299</v>
      </c>
      <c r="C9" s="57" t="s">
        <v>359</v>
      </c>
      <c r="D9" s="57" t="s">
        <v>360</v>
      </c>
      <c r="E9" s="58">
        <v>0.28</v>
      </c>
      <c r="F9" s="58">
        <v>1.0</v>
      </c>
      <c r="G9" s="58">
        <v>2.0</v>
      </c>
      <c r="H9" s="61">
        <v>1.0</v>
      </c>
      <c r="I9" s="58" t="s">
        <v>343</v>
      </c>
      <c r="J9" s="60"/>
      <c r="K9" s="60"/>
      <c r="L9" s="60"/>
    </row>
    <row r="10" hidden="1">
      <c r="A10" s="55" t="s">
        <v>104</v>
      </c>
      <c r="B10" s="56" t="s">
        <v>302</v>
      </c>
      <c r="C10" s="57" t="s">
        <v>361</v>
      </c>
      <c r="D10" s="57" t="s">
        <v>362</v>
      </c>
      <c r="E10" s="58">
        <v>0.15</v>
      </c>
      <c r="F10" s="58">
        <v>2.0</v>
      </c>
      <c r="G10" s="58">
        <v>5.0</v>
      </c>
      <c r="H10" s="61">
        <v>3.0</v>
      </c>
      <c r="I10" s="58" t="s">
        <v>343</v>
      </c>
      <c r="J10" s="60"/>
      <c r="K10" s="60"/>
      <c r="L10" s="60"/>
    </row>
    <row r="11" hidden="1">
      <c r="A11" s="55" t="s">
        <v>104</v>
      </c>
      <c r="B11" s="56" t="s">
        <v>303</v>
      </c>
      <c r="C11" s="57" t="s">
        <v>364</v>
      </c>
      <c r="D11" s="57" t="s">
        <v>365</v>
      </c>
      <c r="E11" s="58">
        <v>0.28</v>
      </c>
      <c r="F11" s="58">
        <v>3.0</v>
      </c>
      <c r="G11" s="58">
        <v>2.0</v>
      </c>
      <c r="H11" s="59">
        <v>-1.0</v>
      </c>
      <c r="I11" s="58" t="s">
        <v>343</v>
      </c>
      <c r="J11" s="60"/>
      <c r="K11" s="60"/>
      <c r="L11" s="60"/>
    </row>
    <row r="12" hidden="1">
      <c r="A12" s="55" t="s">
        <v>104</v>
      </c>
      <c r="B12" s="56" t="s">
        <v>308</v>
      </c>
      <c r="C12" s="57" t="s">
        <v>366</v>
      </c>
      <c r="D12" s="57" t="s">
        <v>367</v>
      </c>
      <c r="E12" s="58">
        <v>0.28</v>
      </c>
      <c r="F12" s="58">
        <v>5.0</v>
      </c>
      <c r="G12" s="58">
        <v>2.0</v>
      </c>
      <c r="H12" s="59">
        <v>-3.0</v>
      </c>
      <c r="I12" s="58" t="s">
        <v>343</v>
      </c>
      <c r="J12" s="60"/>
      <c r="K12" s="60"/>
      <c r="L12" s="60"/>
    </row>
    <row r="13">
      <c r="A13" s="55" t="s">
        <v>104</v>
      </c>
      <c r="B13" s="56" t="s">
        <v>311</v>
      </c>
      <c r="C13" s="57" t="s">
        <v>369</v>
      </c>
      <c r="D13" s="57" t="s">
        <v>370</v>
      </c>
      <c r="E13" s="58">
        <v>0.4</v>
      </c>
      <c r="F13" s="58">
        <v>3.0</v>
      </c>
      <c r="G13" s="58">
        <v>1.0</v>
      </c>
      <c r="H13" s="59">
        <v>-2.0</v>
      </c>
      <c r="I13" s="58" t="s">
        <v>343</v>
      </c>
      <c r="J13" s="60"/>
      <c r="K13" s="60"/>
      <c r="L13" s="60"/>
    </row>
    <row r="14">
      <c r="A14" s="51" t="s">
        <v>124</v>
      </c>
      <c r="B14" s="52"/>
      <c r="C14" s="53"/>
      <c r="D14" s="53"/>
      <c r="E14" s="52"/>
      <c r="F14" s="52"/>
      <c r="G14" s="52"/>
      <c r="H14" s="52"/>
      <c r="I14" s="52"/>
      <c r="J14" s="52"/>
      <c r="K14" s="52"/>
      <c r="L14" s="52"/>
    </row>
    <row r="15">
      <c r="A15" s="62" t="s">
        <v>124</v>
      </c>
      <c r="B15" s="63" t="s">
        <v>312</v>
      </c>
      <c r="C15" s="64" t="s">
        <v>371</v>
      </c>
      <c r="D15" s="66" t="s">
        <v>373</v>
      </c>
      <c r="E15" s="65">
        <v>0.33</v>
      </c>
      <c r="F15" s="65">
        <v>1.0</v>
      </c>
      <c r="G15" s="65">
        <v>1.0</v>
      </c>
      <c r="H15" s="65">
        <v>0.0</v>
      </c>
      <c r="I15" s="65" t="s">
        <v>348</v>
      </c>
      <c r="J15" s="65" t="s">
        <v>349</v>
      </c>
      <c r="K15" s="65" t="s">
        <v>349</v>
      </c>
      <c r="L15" s="65" t="s">
        <v>349</v>
      </c>
    </row>
    <row r="16">
      <c r="A16" s="55" t="s">
        <v>124</v>
      </c>
      <c r="B16" s="56" t="s">
        <v>318</v>
      </c>
      <c r="C16" s="67" t="s">
        <v>374</v>
      </c>
      <c r="D16" s="68" t="s">
        <v>375</v>
      </c>
      <c r="E16" s="69">
        <v>0.11</v>
      </c>
      <c r="F16" s="58">
        <v>4.0</v>
      </c>
      <c r="G16" s="58">
        <v>2.0</v>
      </c>
      <c r="H16" s="59">
        <v>-2.0</v>
      </c>
      <c r="I16" s="58" t="s">
        <v>343</v>
      </c>
      <c r="J16" s="60"/>
      <c r="K16" s="60"/>
      <c r="L16" s="60"/>
    </row>
    <row r="17">
      <c r="A17" s="55" t="s">
        <v>124</v>
      </c>
      <c r="B17" s="56" t="s">
        <v>322</v>
      </c>
      <c r="C17" s="57" t="s">
        <v>377</v>
      </c>
      <c r="D17" s="70" t="s">
        <v>378</v>
      </c>
      <c r="E17" s="58">
        <v>0.11</v>
      </c>
      <c r="F17" s="58">
        <v>3.0</v>
      </c>
      <c r="G17" s="58">
        <v>2.0</v>
      </c>
      <c r="H17" s="59">
        <v>-1.0</v>
      </c>
      <c r="I17" s="58" t="s">
        <v>343</v>
      </c>
      <c r="J17" s="60"/>
      <c r="K17" s="60"/>
      <c r="L17" s="60"/>
    </row>
    <row r="18">
      <c r="A18" s="55" t="s">
        <v>124</v>
      </c>
      <c r="B18" s="56" t="s">
        <v>325</v>
      </c>
      <c r="C18" s="67" t="s">
        <v>379</v>
      </c>
      <c r="D18" s="68" t="s">
        <v>381</v>
      </c>
      <c r="E18" s="69">
        <v>0.11</v>
      </c>
      <c r="F18" s="58">
        <v>1.0</v>
      </c>
      <c r="G18" s="58">
        <v>2.0</v>
      </c>
      <c r="H18" s="61">
        <v>1.0</v>
      </c>
      <c r="I18" s="58" t="s">
        <v>343</v>
      </c>
      <c r="J18" s="60"/>
      <c r="K18" s="60"/>
      <c r="L18" s="60"/>
    </row>
    <row r="19">
      <c r="A19" s="55" t="s">
        <v>124</v>
      </c>
      <c r="B19" s="56" t="s">
        <v>329</v>
      </c>
      <c r="C19" s="57" t="s">
        <v>382</v>
      </c>
      <c r="D19" s="71" t="s">
        <v>383</v>
      </c>
      <c r="E19" s="58">
        <v>0.11</v>
      </c>
      <c r="F19" s="58">
        <v>4.0</v>
      </c>
      <c r="G19" s="58">
        <v>2.0</v>
      </c>
      <c r="H19" s="59">
        <v>-2.0</v>
      </c>
      <c r="I19" s="58" t="s">
        <v>343</v>
      </c>
      <c r="J19" s="60"/>
      <c r="K19" s="60"/>
      <c r="L19" s="60"/>
    </row>
    <row r="20">
      <c r="A20" s="51" t="s">
        <v>134</v>
      </c>
      <c r="B20" s="52"/>
      <c r="C20" s="53"/>
      <c r="D20" s="57"/>
      <c r="E20" s="52"/>
      <c r="F20" s="52"/>
      <c r="G20" s="52"/>
      <c r="H20" s="52"/>
      <c r="I20" s="52"/>
      <c r="J20" s="52"/>
      <c r="K20" s="52"/>
      <c r="L20" s="52"/>
    </row>
    <row r="21">
      <c r="A21" s="62" t="s">
        <v>134</v>
      </c>
      <c r="B21" s="63" t="s">
        <v>340</v>
      </c>
      <c r="C21" s="64" t="s">
        <v>384</v>
      </c>
      <c r="D21" s="64" t="s">
        <v>385</v>
      </c>
      <c r="E21" s="65">
        <v>0.4</v>
      </c>
      <c r="F21" s="65">
        <v>2.0</v>
      </c>
      <c r="G21" s="65">
        <v>2.0</v>
      </c>
      <c r="H21" s="65">
        <v>0.0</v>
      </c>
      <c r="I21" s="65" t="s">
        <v>348</v>
      </c>
      <c r="J21" s="65" t="s">
        <v>349</v>
      </c>
      <c r="K21" s="65" t="s">
        <v>349</v>
      </c>
      <c r="L21" s="65" t="s">
        <v>349</v>
      </c>
    </row>
    <row r="22">
      <c r="A22" s="62" t="s">
        <v>134</v>
      </c>
      <c r="B22" s="63" t="s">
        <v>356</v>
      </c>
      <c r="C22" s="64" t="s">
        <v>388</v>
      </c>
      <c r="D22" s="64" t="s">
        <v>389</v>
      </c>
      <c r="E22" s="65">
        <v>0.39</v>
      </c>
      <c r="F22" s="65">
        <v>3.0</v>
      </c>
      <c r="G22" s="65">
        <v>3.0</v>
      </c>
      <c r="H22" s="65">
        <v>0.0</v>
      </c>
      <c r="I22" s="65" t="s">
        <v>348</v>
      </c>
      <c r="J22" s="65" t="s">
        <v>349</v>
      </c>
      <c r="K22" s="65" t="s">
        <v>349</v>
      </c>
      <c r="L22" s="65" t="s">
        <v>349</v>
      </c>
    </row>
    <row r="23">
      <c r="A23" s="62" t="s">
        <v>134</v>
      </c>
      <c r="B23" s="63" t="s">
        <v>363</v>
      </c>
      <c r="C23" s="64" t="s">
        <v>390</v>
      </c>
      <c r="D23" s="64" t="s">
        <v>391</v>
      </c>
      <c r="E23" s="65">
        <v>0.49</v>
      </c>
      <c r="F23" s="65">
        <v>1.0</v>
      </c>
      <c r="G23" s="65">
        <v>1.0</v>
      </c>
      <c r="H23" s="65">
        <v>0.0</v>
      </c>
      <c r="I23" s="65" t="s">
        <v>348</v>
      </c>
      <c r="J23" s="65" t="s">
        <v>349</v>
      </c>
      <c r="K23" s="65" t="s">
        <v>349</v>
      </c>
      <c r="L23" s="65" t="s">
        <v>349</v>
      </c>
    </row>
    <row r="24">
      <c r="A24" s="55" t="s">
        <v>134</v>
      </c>
      <c r="B24" s="56" t="s">
        <v>368</v>
      </c>
      <c r="C24" s="57" t="s">
        <v>393</v>
      </c>
      <c r="D24" s="57" t="s">
        <v>394</v>
      </c>
      <c r="E24" s="58">
        <v>0.33</v>
      </c>
      <c r="F24" s="58">
        <v>3.0</v>
      </c>
      <c r="G24" s="58">
        <v>5.0</v>
      </c>
      <c r="H24" s="61">
        <v>2.0</v>
      </c>
      <c r="I24" s="58" t="s">
        <v>343</v>
      </c>
      <c r="J24" s="60"/>
      <c r="K24" s="60"/>
      <c r="L24" s="60"/>
    </row>
    <row r="25">
      <c r="A25" s="55" t="s">
        <v>134</v>
      </c>
      <c r="B25" s="56" t="s">
        <v>372</v>
      </c>
      <c r="C25" s="57" t="s">
        <v>396</v>
      </c>
      <c r="D25" s="57" t="s">
        <v>397</v>
      </c>
      <c r="E25" s="58">
        <v>0.39</v>
      </c>
      <c r="F25" s="58">
        <v>5.0</v>
      </c>
      <c r="G25" s="58">
        <v>3.0</v>
      </c>
      <c r="H25" s="59">
        <v>-2.0</v>
      </c>
      <c r="I25" s="58" t="s">
        <v>343</v>
      </c>
      <c r="J25" s="60"/>
      <c r="K25" s="60"/>
      <c r="L25" s="60"/>
    </row>
    <row r="26">
      <c r="A26" s="51" t="s">
        <v>142</v>
      </c>
      <c r="B26" s="52"/>
      <c r="C26" s="53"/>
      <c r="D26" s="53"/>
      <c r="E26" s="52"/>
      <c r="F26" s="52"/>
      <c r="G26" s="52"/>
      <c r="H26" s="52"/>
      <c r="I26" s="52"/>
      <c r="J26" s="52"/>
      <c r="K26" s="52"/>
      <c r="L26" s="52"/>
    </row>
    <row r="27">
      <c r="A27" s="62" t="s">
        <v>142</v>
      </c>
      <c r="B27" s="63" t="s">
        <v>380</v>
      </c>
      <c r="C27" s="64" t="s">
        <v>398</v>
      </c>
      <c r="D27" s="64" t="s">
        <v>399</v>
      </c>
      <c r="E27" s="65">
        <v>0.13</v>
      </c>
      <c r="F27" s="65">
        <v>5.0</v>
      </c>
      <c r="G27" s="65">
        <v>5.0</v>
      </c>
      <c r="H27" s="65">
        <v>0.0</v>
      </c>
      <c r="I27" s="65" t="s">
        <v>348</v>
      </c>
      <c r="J27" s="65" t="s">
        <v>349</v>
      </c>
      <c r="K27" s="65" t="s">
        <v>349</v>
      </c>
      <c r="L27" s="65" t="s">
        <v>349</v>
      </c>
    </row>
    <row r="28">
      <c r="A28" s="62" t="s">
        <v>142</v>
      </c>
      <c r="B28" s="63" t="s">
        <v>387</v>
      </c>
      <c r="C28" s="64" t="s">
        <v>401</v>
      </c>
      <c r="D28" s="64" t="s">
        <v>402</v>
      </c>
      <c r="E28" s="65">
        <v>0.38</v>
      </c>
      <c r="F28" s="65">
        <v>1.0</v>
      </c>
      <c r="G28" s="65">
        <v>1.0</v>
      </c>
      <c r="H28" s="65">
        <v>0.0</v>
      </c>
      <c r="I28" s="65" t="s">
        <v>348</v>
      </c>
      <c r="J28" s="65" t="s">
        <v>349</v>
      </c>
      <c r="K28" s="65" t="s">
        <v>349</v>
      </c>
      <c r="L28" s="65" t="s">
        <v>349</v>
      </c>
    </row>
    <row r="29">
      <c r="A29" s="55" t="s">
        <v>142</v>
      </c>
      <c r="B29" s="56" t="s">
        <v>395</v>
      </c>
      <c r="C29" s="57" t="s">
        <v>403</v>
      </c>
      <c r="D29" s="57" t="s">
        <v>404</v>
      </c>
      <c r="E29" s="58">
        <v>0.23</v>
      </c>
      <c r="F29" s="58">
        <v>3.0</v>
      </c>
      <c r="G29" s="58">
        <v>2.0</v>
      </c>
      <c r="H29" s="59">
        <v>-1.0</v>
      </c>
      <c r="I29" s="58" t="s">
        <v>343</v>
      </c>
      <c r="J29" s="60"/>
      <c r="K29" s="60"/>
      <c r="L29" s="60"/>
    </row>
    <row r="30">
      <c r="A30" s="55" t="s">
        <v>142</v>
      </c>
      <c r="B30" s="56" t="s">
        <v>400</v>
      </c>
      <c r="C30" s="57" t="s">
        <v>405</v>
      </c>
      <c r="D30" s="57" t="s">
        <v>406</v>
      </c>
      <c r="E30" s="58">
        <v>0.16</v>
      </c>
      <c r="F30" s="58">
        <v>1.0</v>
      </c>
      <c r="G30" s="58">
        <v>4.0</v>
      </c>
      <c r="H30" s="61">
        <v>3.0</v>
      </c>
      <c r="I30" s="58" t="s">
        <v>343</v>
      </c>
      <c r="J30" s="60"/>
      <c r="K30" s="60"/>
      <c r="L30" s="60"/>
    </row>
    <row r="31">
      <c r="A31" s="55" t="s">
        <v>142</v>
      </c>
      <c r="B31" s="56" t="s">
        <v>407</v>
      </c>
      <c r="C31" s="57" t="s">
        <v>408</v>
      </c>
      <c r="D31" s="57" t="s">
        <v>409</v>
      </c>
      <c r="E31" s="58">
        <v>0.2</v>
      </c>
      <c r="F31" s="58">
        <v>4.0</v>
      </c>
      <c r="G31" s="58">
        <v>3.0</v>
      </c>
      <c r="H31" s="59">
        <v>-1.0</v>
      </c>
      <c r="I31" s="58" t="s">
        <v>343</v>
      </c>
      <c r="J31" s="60"/>
      <c r="K31" s="60"/>
      <c r="L31" s="60"/>
    </row>
    <row r="32">
      <c r="A32" s="51" t="s">
        <v>158</v>
      </c>
      <c r="B32" s="52"/>
      <c r="C32" s="53"/>
      <c r="D32" s="53"/>
      <c r="E32" s="52"/>
      <c r="F32" s="52"/>
      <c r="G32" s="52"/>
      <c r="H32" s="52"/>
      <c r="I32" s="52"/>
      <c r="J32" s="52"/>
      <c r="K32" s="52"/>
      <c r="L32" s="52"/>
    </row>
    <row r="33">
      <c r="A33" s="62" t="s">
        <v>158</v>
      </c>
      <c r="B33" s="63" t="s">
        <v>410</v>
      </c>
      <c r="C33" s="64" t="s">
        <v>411</v>
      </c>
      <c r="D33" s="64" t="s">
        <v>412</v>
      </c>
      <c r="E33" s="65">
        <v>0.25</v>
      </c>
      <c r="F33" s="65">
        <v>2.0</v>
      </c>
      <c r="G33" s="65">
        <v>2.0</v>
      </c>
      <c r="H33" s="65">
        <v>0.0</v>
      </c>
      <c r="I33" s="65" t="s">
        <v>348</v>
      </c>
      <c r="J33" s="65" t="s">
        <v>349</v>
      </c>
      <c r="K33" s="65" t="s">
        <v>349</v>
      </c>
      <c r="L33" s="65" t="s">
        <v>349</v>
      </c>
    </row>
    <row r="34">
      <c r="A34" s="62" t="s">
        <v>158</v>
      </c>
      <c r="B34" s="63" t="s">
        <v>413</v>
      </c>
      <c r="C34" s="64" t="s">
        <v>414</v>
      </c>
      <c r="D34" s="64" t="s">
        <v>415</v>
      </c>
      <c r="E34" s="65">
        <v>0.28</v>
      </c>
      <c r="F34" s="65">
        <v>1.0</v>
      </c>
      <c r="G34" s="65">
        <v>1.0</v>
      </c>
      <c r="H34" s="65">
        <v>0.0</v>
      </c>
      <c r="I34" s="65" t="s">
        <v>348</v>
      </c>
      <c r="J34" s="65" t="s">
        <v>349</v>
      </c>
      <c r="K34" s="65" t="s">
        <v>349</v>
      </c>
      <c r="L34" s="65" t="s">
        <v>349</v>
      </c>
    </row>
    <row r="35">
      <c r="A35" s="62" t="s">
        <v>158</v>
      </c>
      <c r="B35" s="63" t="s">
        <v>416</v>
      </c>
      <c r="C35" s="64" t="s">
        <v>417</v>
      </c>
      <c r="D35" s="64" t="s">
        <v>418</v>
      </c>
      <c r="E35" s="65">
        <v>0.25</v>
      </c>
      <c r="F35" s="65">
        <v>2.0</v>
      </c>
      <c r="G35" s="65">
        <v>2.0</v>
      </c>
      <c r="H35" s="65">
        <v>0.0</v>
      </c>
      <c r="I35" s="65" t="s">
        <v>348</v>
      </c>
      <c r="J35" s="65" t="s">
        <v>349</v>
      </c>
      <c r="K35" s="65" t="s">
        <v>349</v>
      </c>
      <c r="L35" s="65" t="s">
        <v>349</v>
      </c>
    </row>
    <row r="36">
      <c r="A36" s="62" t="s">
        <v>158</v>
      </c>
      <c r="B36" s="63" t="s">
        <v>420</v>
      </c>
      <c r="C36" s="64" t="s">
        <v>421</v>
      </c>
      <c r="D36" s="64" t="s">
        <v>423</v>
      </c>
      <c r="E36" s="65">
        <v>0.15</v>
      </c>
      <c r="F36" s="65">
        <v>4.0</v>
      </c>
      <c r="G36" s="65">
        <v>4.0</v>
      </c>
      <c r="H36" s="65">
        <v>0.0</v>
      </c>
      <c r="I36" s="65" t="s">
        <v>348</v>
      </c>
      <c r="J36" s="65" t="s">
        <v>349</v>
      </c>
      <c r="K36" s="65" t="s">
        <v>349</v>
      </c>
      <c r="L36" s="65" t="s">
        <v>349</v>
      </c>
    </row>
    <row r="37">
      <c r="A37" s="55" t="s">
        <v>158</v>
      </c>
      <c r="B37" s="56" t="s">
        <v>426</v>
      </c>
      <c r="C37" s="57" t="s">
        <v>427</v>
      </c>
      <c r="D37" s="57" t="s">
        <v>428</v>
      </c>
      <c r="E37" s="58">
        <v>0.12</v>
      </c>
      <c r="F37" s="58">
        <v>4.0</v>
      </c>
      <c r="G37" s="58">
        <v>5.0</v>
      </c>
      <c r="H37" s="61">
        <v>1.0</v>
      </c>
      <c r="I37" s="58" t="s">
        <v>343</v>
      </c>
      <c r="J37" s="60"/>
      <c r="K37" s="60"/>
      <c r="L37" s="60"/>
    </row>
    <row r="38">
      <c r="C38" s="77"/>
      <c r="D38" s="78"/>
    </row>
    <row r="39">
      <c r="C39" s="77"/>
    </row>
    <row r="40">
      <c r="C40" s="77"/>
    </row>
    <row r="41">
      <c r="C41" s="77"/>
    </row>
    <row r="42">
      <c r="C42" s="77"/>
    </row>
    <row r="43">
      <c r="C43" s="77"/>
    </row>
    <row r="44">
      <c r="C44" s="77"/>
    </row>
    <row r="45">
      <c r="C45" s="77"/>
    </row>
    <row r="46">
      <c r="C46" s="77"/>
    </row>
    <row r="47">
      <c r="C47" s="77"/>
    </row>
    <row r="48">
      <c r="C48" s="77"/>
    </row>
    <row r="49">
      <c r="C49" s="77"/>
    </row>
    <row r="50">
      <c r="C50" s="77"/>
    </row>
    <row r="51">
      <c r="C51" s="77"/>
    </row>
    <row r="52">
      <c r="C52" s="77"/>
    </row>
    <row r="53">
      <c r="C53" s="77"/>
    </row>
    <row r="54">
      <c r="C54" s="77"/>
    </row>
    <row r="55">
      <c r="C55" s="77"/>
    </row>
    <row r="56">
      <c r="C56" s="77"/>
    </row>
    <row r="57">
      <c r="C57" s="77"/>
    </row>
    <row r="58">
      <c r="C58" s="77"/>
    </row>
    <row r="59">
      <c r="C59" s="77"/>
    </row>
    <row r="60">
      <c r="C60" s="77"/>
    </row>
    <row r="61">
      <c r="C61" s="77"/>
    </row>
    <row r="62">
      <c r="C62" s="77"/>
    </row>
    <row r="63">
      <c r="C63" s="77"/>
    </row>
    <row r="64">
      <c r="C64" s="77"/>
    </row>
    <row r="65">
      <c r="C65" s="77"/>
    </row>
    <row r="66">
      <c r="C66" s="77"/>
    </row>
    <row r="67">
      <c r="C67" s="77"/>
    </row>
    <row r="68">
      <c r="C68" s="77"/>
    </row>
    <row r="69">
      <c r="C69" s="77"/>
    </row>
    <row r="70">
      <c r="C70" s="77"/>
    </row>
    <row r="71">
      <c r="C71" s="77"/>
    </row>
    <row r="72">
      <c r="C72" s="77"/>
    </row>
    <row r="73">
      <c r="C73" s="77"/>
    </row>
    <row r="74">
      <c r="C74" s="77"/>
    </row>
    <row r="75">
      <c r="C75" s="77"/>
    </row>
    <row r="76">
      <c r="C76" s="77"/>
    </row>
    <row r="77">
      <c r="C77" s="77"/>
    </row>
    <row r="78">
      <c r="C78" s="77"/>
    </row>
    <row r="79">
      <c r="C79" s="77"/>
    </row>
    <row r="80">
      <c r="C80" s="77"/>
    </row>
    <row r="81">
      <c r="C81" s="77"/>
    </row>
    <row r="82">
      <c r="C82" s="77"/>
    </row>
    <row r="83">
      <c r="C83" s="77"/>
    </row>
    <row r="84">
      <c r="C84" s="77"/>
    </row>
    <row r="85">
      <c r="C85" s="77"/>
    </row>
    <row r="86">
      <c r="C86" s="77"/>
    </row>
    <row r="87">
      <c r="C87" s="77"/>
    </row>
    <row r="88">
      <c r="C88" s="77"/>
    </row>
    <row r="89">
      <c r="C89" s="77"/>
    </row>
    <row r="90">
      <c r="C90" s="77"/>
    </row>
    <row r="91">
      <c r="C91" s="77"/>
    </row>
    <row r="92">
      <c r="C92" s="77"/>
    </row>
    <row r="93">
      <c r="C93" s="77"/>
    </row>
    <row r="94">
      <c r="C94" s="77"/>
    </row>
    <row r="95">
      <c r="C95" s="77"/>
    </row>
    <row r="96">
      <c r="C96" s="77"/>
    </row>
    <row r="97">
      <c r="C97" s="77"/>
    </row>
    <row r="98">
      <c r="C98" s="77"/>
    </row>
    <row r="99">
      <c r="C99" s="77"/>
    </row>
    <row r="100">
      <c r="C100" s="77"/>
    </row>
    <row r="101">
      <c r="C101" s="77"/>
    </row>
    <row r="102">
      <c r="C102" s="77"/>
    </row>
    <row r="103">
      <c r="C103" s="77"/>
    </row>
    <row r="104">
      <c r="C104" s="77"/>
    </row>
    <row r="105">
      <c r="C105" s="77"/>
    </row>
    <row r="106">
      <c r="C106" s="77"/>
    </row>
    <row r="107">
      <c r="C107" s="77"/>
    </row>
    <row r="108">
      <c r="C108" s="77"/>
    </row>
    <row r="109">
      <c r="C109" s="77"/>
    </row>
    <row r="110">
      <c r="C110" s="77"/>
    </row>
    <row r="111">
      <c r="C111" s="77"/>
    </row>
    <row r="112">
      <c r="C112" s="77"/>
    </row>
    <row r="113">
      <c r="C113" s="77"/>
    </row>
    <row r="114">
      <c r="C114" s="77"/>
    </row>
    <row r="115">
      <c r="C115" s="77"/>
    </row>
    <row r="116">
      <c r="C116" s="77"/>
    </row>
    <row r="117">
      <c r="C117" s="77"/>
    </row>
    <row r="118">
      <c r="C118" s="77"/>
    </row>
    <row r="119">
      <c r="C119" s="77"/>
    </row>
    <row r="120">
      <c r="C120" s="77"/>
    </row>
    <row r="121">
      <c r="C121" s="77"/>
    </row>
    <row r="122">
      <c r="C122" s="77"/>
    </row>
    <row r="123">
      <c r="C123" s="77"/>
    </row>
    <row r="124">
      <c r="C124" s="77"/>
    </row>
    <row r="125">
      <c r="C125" s="77"/>
    </row>
    <row r="126">
      <c r="C126" s="77"/>
    </row>
    <row r="127">
      <c r="C127" s="77"/>
    </row>
    <row r="128">
      <c r="C128" s="77"/>
    </row>
    <row r="129">
      <c r="C129" s="77"/>
    </row>
    <row r="130">
      <c r="C130" s="77"/>
    </row>
    <row r="131">
      <c r="C131" s="77"/>
    </row>
    <row r="132">
      <c r="C132" s="77"/>
    </row>
    <row r="133">
      <c r="C133" s="77"/>
    </row>
    <row r="134">
      <c r="C134" s="77"/>
    </row>
    <row r="135">
      <c r="C135" s="77"/>
    </row>
    <row r="136">
      <c r="C136" s="77"/>
    </row>
    <row r="137">
      <c r="C137" s="77"/>
    </row>
    <row r="138">
      <c r="C138" s="77"/>
    </row>
    <row r="139">
      <c r="C139" s="77"/>
    </row>
    <row r="140">
      <c r="C140" s="77"/>
    </row>
    <row r="141">
      <c r="C141" s="77"/>
    </row>
    <row r="142">
      <c r="C142" s="77"/>
    </row>
    <row r="143">
      <c r="C143" s="77"/>
    </row>
    <row r="144">
      <c r="C144" s="77"/>
    </row>
    <row r="145">
      <c r="C145" s="77"/>
    </row>
    <row r="146">
      <c r="C146" s="77"/>
    </row>
    <row r="147">
      <c r="C147" s="77"/>
    </row>
    <row r="148">
      <c r="C148" s="77"/>
    </row>
    <row r="149">
      <c r="C149" s="77"/>
    </row>
    <row r="150">
      <c r="C150" s="77"/>
    </row>
    <row r="151">
      <c r="C151" s="77"/>
    </row>
    <row r="152">
      <c r="C152" s="77"/>
    </row>
    <row r="153">
      <c r="C153" s="77"/>
    </row>
    <row r="154">
      <c r="C154" s="77"/>
    </row>
    <row r="155">
      <c r="C155" s="77"/>
    </row>
    <row r="156">
      <c r="C156" s="77"/>
    </row>
    <row r="157">
      <c r="C157" s="77"/>
    </row>
    <row r="158">
      <c r="C158" s="77"/>
    </row>
    <row r="159">
      <c r="C159" s="77"/>
    </row>
    <row r="160">
      <c r="C160" s="77"/>
    </row>
    <row r="161">
      <c r="C161" s="77"/>
    </row>
    <row r="162">
      <c r="C162" s="77"/>
    </row>
    <row r="163">
      <c r="C163" s="77"/>
    </row>
    <row r="164">
      <c r="C164" s="77"/>
    </row>
    <row r="165">
      <c r="C165" s="77"/>
    </row>
    <row r="166">
      <c r="C166" s="77"/>
    </row>
    <row r="167">
      <c r="C167" s="77"/>
    </row>
    <row r="168">
      <c r="C168" s="77"/>
    </row>
    <row r="169">
      <c r="C169" s="77"/>
    </row>
    <row r="170">
      <c r="C170" s="77"/>
    </row>
    <row r="171">
      <c r="C171" s="77"/>
    </row>
    <row r="172">
      <c r="C172" s="77"/>
    </row>
    <row r="173">
      <c r="C173" s="77"/>
    </row>
    <row r="174">
      <c r="C174" s="77"/>
    </row>
    <row r="175">
      <c r="C175" s="77"/>
    </row>
    <row r="176">
      <c r="C176" s="77"/>
    </row>
    <row r="177">
      <c r="C177" s="77"/>
    </row>
    <row r="178">
      <c r="C178" s="77"/>
    </row>
    <row r="179">
      <c r="C179" s="77"/>
    </row>
    <row r="180">
      <c r="C180" s="77"/>
    </row>
    <row r="181">
      <c r="C181" s="77"/>
    </row>
    <row r="182">
      <c r="C182" s="77"/>
    </row>
    <row r="183">
      <c r="C183" s="77"/>
    </row>
    <row r="184">
      <c r="C184" s="77"/>
    </row>
    <row r="185">
      <c r="C185" s="77"/>
    </row>
    <row r="186">
      <c r="C186" s="77"/>
    </row>
    <row r="187">
      <c r="C187" s="77"/>
    </row>
    <row r="188">
      <c r="C188" s="77"/>
    </row>
    <row r="189">
      <c r="C189" s="77"/>
    </row>
    <row r="190">
      <c r="C190" s="77"/>
    </row>
    <row r="191">
      <c r="C191" s="77"/>
    </row>
    <row r="192">
      <c r="C192" s="77"/>
    </row>
    <row r="193">
      <c r="C193" s="77"/>
    </row>
    <row r="194">
      <c r="C194" s="77"/>
    </row>
    <row r="195">
      <c r="C195" s="77"/>
    </row>
    <row r="196">
      <c r="C196" s="77"/>
    </row>
    <row r="197">
      <c r="C197" s="77"/>
    </row>
    <row r="198">
      <c r="C198" s="77"/>
    </row>
    <row r="199">
      <c r="C199" s="77"/>
    </row>
    <row r="200">
      <c r="C200" s="77"/>
    </row>
    <row r="201">
      <c r="C201" s="77"/>
    </row>
    <row r="202">
      <c r="C202" s="77"/>
    </row>
    <row r="203">
      <c r="C203" s="77"/>
    </row>
    <row r="204">
      <c r="C204" s="77"/>
    </row>
    <row r="205">
      <c r="C205" s="77"/>
    </row>
    <row r="206">
      <c r="C206" s="77"/>
    </row>
    <row r="207">
      <c r="C207" s="77"/>
    </row>
    <row r="208">
      <c r="C208" s="77"/>
    </row>
    <row r="209">
      <c r="C209" s="77"/>
    </row>
    <row r="210">
      <c r="C210" s="77"/>
    </row>
    <row r="211">
      <c r="C211" s="77"/>
    </row>
    <row r="212">
      <c r="C212" s="77"/>
    </row>
    <row r="213">
      <c r="C213" s="77"/>
    </row>
    <row r="214">
      <c r="C214" s="77"/>
    </row>
    <row r="215">
      <c r="C215" s="77"/>
    </row>
    <row r="216">
      <c r="C216" s="77"/>
    </row>
    <row r="217">
      <c r="C217" s="77"/>
    </row>
    <row r="218">
      <c r="C218" s="77"/>
    </row>
    <row r="219">
      <c r="C219" s="77"/>
    </row>
    <row r="220">
      <c r="C220" s="77"/>
    </row>
    <row r="221">
      <c r="C221" s="77"/>
    </row>
    <row r="222">
      <c r="C222" s="77"/>
    </row>
    <row r="223">
      <c r="C223" s="77"/>
    </row>
    <row r="224">
      <c r="C224" s="77"/>
    </row>
    <row r="225">
      <c r="C225" s="77"/>
    </row>
    <row r="226">
      <c r="C226" s="77"/>
    </row>
    <row r="227">
      <c r="C227" s="77"/>
    </row>
    <row r="228">
      <c r="C228" s="77"/>
    </row>
    <row r="229">
      <c r="C229" s="77"/>
    </row>
    <row r="230">
      <c r="C230" s="77"/>
    </row>
    <row r="231">
      <c r="C231" s="77"/>
    </row>
    <row r="232">
      <c r="C232" s="77"/>
    </row>
    <row r="233">
      <c r="C233" s="77"/>
    </row>
    <row r="234">
      <c r="C234" s="77"/>
    </row>
    <row r="235">
      <c r="C235" s="77"/>
    </row>
    <row r="236">
      <c r="C236" s="77"/>
    </row>
    <row r="237">
      <c r="C237" s="77"/>
    </row>
    <row r="238">
      <c r="C238" s="77"/>
    </row>
    <row r="239">
      <c r="C239" s="77"/>
    </row>
    <row r="240">
      <c r="C240" s="77"/>
    </row>
    <row r="241">
      <c r="C241" s="77"/>
    </row>
    <row r="242">
      <c r="C242" s="77"/>
    </row>
    <row r="243">
      <c r="C243" s="77"/>
    </row>
    <row r="244">
      <c r="C244" s="77"/>
    </row>
    <row r="245">
      <c r="C245" s="77"/>
    </row>
    <row r="246">
      <c r="C246" s="77"/>
    </row>
    <row r="247">
      <c r="C247" s="77"/>
    </row>
    <row r="248">
      <c r="C248" s="77"/>
    </row>
    <row r="249">
      <c r="C249" s="77"/>
    </row>
    <row r="250">
      <c r="C250" s="77"/>
    </row>
    <row r="251">
      <c r="C251" s="77"/>
    </row>
    <row r="252">
      <c r="C252" s="77"/>
    </row>
    <row r="253">
      <c r="C253" s="77"/>
    </row>
    <row r="254">
      <c r="C254" s="77"/>
    </row>
    <row r="255">
      <c r="C255" s="77"/>
    </row>
    <row r="256">
      <c r="C256" s="77"/>
    </row>
    <row r="257">
      <c r="C257" s="77"/>
    </row>
    <row r="258">
      <c r="C258" s="77"/>
    </row>
    <row r="259">
      <c r="C259" s="77"/>
    </row>
    <row r="260">
      <c r="C260" s="77"/>
    </row>
    <row r="261">
      <c r="C261" s="77"/>
    </row>
    <row r="262">
      <c r="C262" s="77"/>
    </row>
    <row r="263">
      <c r="C263" s="77"/>
    </row>
    <row r="264">
      <c r="C264" s="77"/>
    </row>
    <row r="265">
      <c r="C265" s="77"/>
    </row>
    <row r="266">
      <c r="C266" s="77"/>
    </row>
    <row r="267">
      <c r="C267" s="77"/>
    </row>
    <row r="268">
      <c r="C268" s="77"/>
    </row>
    <row r="269">
      <c r="C269" s="77"/>
    </row>
    <row r="270">
      <c r="C270" s="77"/>
    </row>
    <row r="271">
      <c r="C271" s="77"/>
    </row>
    <row r="272">
      <c r="C272" s="77"/>
    </row>
    <row r="273">
      <c r="C273" s="77"/>
    </row>
    <row r="274">
      <c r="C274" s="77"/>
    </row>
    <row r="275">
      <c r="C275" s="77"/>
    </row>
    <row r="276">
      <c r="C276" s="77"/>
    </row>
    <row r="277">
      <c r="C277" s="77"/>
    </row>
    <row r="278">
      <c r="C278" s="77"/>
    </row>
    <row r="279">
      <c r="C279" s="77"/>
    </row>
    <row r="280">
      <c r="C280" s="77"/>
    </row>
    <row r="281">
      <c r="C281" s="77"/>
    </row>
    <row r="282">
      <c r="C282" s="77"/>
    </row>
    <row r="283">
      <c r="C283" s="77"/>
    </row>
    <row r="284">
      <c r="C284" s="77"/>
    </row>
    <row r="285">
      <c r="C285" s="77"/>
    </row>
    <row r="286">
      <c r="C286" s="77"/>
    </row>
    <row r="287">
      <c r="C287" s="77"/>
    </row>
    <row r="288">
      <c r="C288" s="77"/>
    </row>
    <row r="289">
      <c r="C289" s="77"/>
    </row>
    <row r="290">
      <c r="C290" s="77"/>
    </row>
    <row r="291">
      <c r="C291" s="77"/>
    </row>
    <row r="292">
      <c r="C292" s="77"/>
    </row>
    <row r="293">
      <c r="C293" s="77"/>
    </row>
    <row r="294">
      <c r="C294" s="77"/>
    </row>
    <row r="295">
      <c r="C295" s="77"/>
    </row>
    <row r="296">
      <c r="C296" s="77"/>
    </row>
    <row r="297">
      <c r="C297" s="77"/>
    </row>
    <row r="298">
      <c r="C298" s="77"/>
    </row>
    <row r="299">
      <c r="C299" s="77"/>
    </row>
    <row r="300">
      <c r="C300" s="77"/>
    </row>
    <row r="301">
      <c r="C301" s="77"/>
    </row>
    <row r="302">
      <c r="C302" s="77"/>
    </row>
    <row r="303">
      <c r="C303" s="77"/>
    </row>
    <row r="304">
      <c r="C304" s="77"/>
    </row>
    <row r="305">
      <c r="C305" s="77"/>
    </row>
    <row r="306">
      <c r="C306" s="77"/>
    </row>
    <row r="307">
      <c r="C307" s="77"/>
    </row>
    <row r="308">
      <c r="C308" s="77"/>
    </row>
    <row r="309">
      <c r="C309" s="77"/>
    </row>
    <row r="310">
      <c r="C310" s="77"/>
    </row>
    <row r="311">
      <c r="C311" s="77"/>
    </row>
    <row r="312">
      <c r="C312" s="77"/>
    </row>
    <row r="313">
      <c r="C313" s="77"/>
    </row>
    <row r="314">
      <c r="C314" s="77"/>
    </row>
    <row r="315">
      <c r="C315" s="77"/>
    </row>
    <row r="316">
      <c r="C316" s="77"/>
    </row>
    <row r="317">
      <c r="C317" s="77"/>
    </row>
    <row r="318">
      <c r="C318" s="77"/>
    </row>
    <row r="319">
      <c r="C319" s="77"/>
    </row>
    <row r="320">
      <c r="C320" s="77"/>
    </row>
    <row r="321">
      <c r="C321" s="77"/>
    </row>
    <row r="322">
      <c r="C322" s="77"/>
    </row>
    <row r="323">
      <c r="C323" s="77"/>
    </row>
    <row r="324">
      <c r="C324" s="77"/>
    </row>
    <row r="325">
      <c r="C325" s="77"/>
    </row>
    <row r="326">
      <c r="C326" s="77"/>
    </row>
    <row r="327">
      <c r="C327" s="77"/>
    </row>
    <row r="328">
      <c r="C328" s="77"/>
    </row>
    <row r="329">
      <c r="C329" s="77"/>
    </row>
    <row r="330">
      <c r="C330" s="77"/>
    </row>
    <row r="331">
      <c r="C331" s="77"/>
    </row>
    <row r="332">
      <c r="C332" s="77"/>
    </row>
    <row r="333">
      <c r="C333" s="77"/>
    </row>
    <row r="334">
      <c r="C334" s="77"/>
    </row>
    <row r="335">
      <c r="C335" s="77"/>
    </row>
    <row r="336">
      <c r="C336" s="77"/>
    </row>
    <row r="337">
      <c r="C337" s="77"/>
    </row>
    <row r="338">
      <c r="C338" s="77"/>
    </row>
    <row r="339">
      <c r="C339" s="77"/>
    </row>
    <row r="340">
      <c r="C340" s="77"/>
    </row>
    <row r="341">
      <c r="C341" s="77"/>
    </row>
    <row r="342">
      <c r="C342" s="77"/>
    </row>
    <row r="343">
      <c r="C343" s="77"/>
    </row>
    <row r="344">
      <c r="C344" s="77"/>
    </row>
    <row r="345">
      <c r="C345" s="77"/>
    </row>
    <row r="346">
      <c r="C346" s="77"/>
    </row>
    <row r="347">
      <c r="C347" s="77"/>
    </row>
    <row r="348">
      <c r="C348" s="77"/>
    </row>
    <row r="349">
      <c r="C349" s="77"/>
    </row>
    <row r="350">
      <c r="C350" s="77"/>
    </row>
    <row r="351">
      <c r="C351" s="77"/>
    </row>
    <row r="352">
      <c r="C352" s="77"/>
    </row>
    <row r="353">
      <c r="C353" s="77"/>
    </row>
    <row r="354">
      <c r="C354" s="77"/>
    </row>
    <row r="355">
      <c r="C355" s="77"/>
    </row>
    <row r="356">
      <c r="C356" s="77"/>
    </row>
    <row r="357">
      <c r="C357" s="77"/>
    </row>
    <row r="358">
      <c r="C358" s="77"/>
    </row>
    <row r="359">
      <c r="C359" s="77"/>
    </row>
    <row r="360">
      <c r="C360" s="77"/>
    </row>
    <row r="361">
      <c r="C361" s="77"/>
    </row>
    <row r="362">
      <c r="C362" s="77"/>
    </row>
    <row r="363">
      <c r="C363" s="77"/>
    </row>
    <row r="364">
      <c r="C364" s="77"/>
    </row>
    <row r="365">
      <c r="C365" s="77"/>
    </row>
    <row r="366">
      <c r="C366" s="77"/>
    </row>
    <row r="367">
      <c r="C367" s="77"/>
    </row>
    <row r="368">
      <c r="C368" s="77"/>
    </row>
    <row r="369">
      <c r="C369" s="77"/>
    </row>
    <row r="370">
      <c r="C370" s="77"/>
    </row>
    <row r="371">
      <c r="C371" s="77"/>
    </row>
    <row r="372">
      <c r="C372" s="77"/>
    </row>
    <row r="373">
      <c r="C373" s="77"/>
    </row>
    <row r="374">
      <c r="C374" s="77"/>
    </row>
    <row r="375">
      <c r="C375" s="77"/>
    </row>
    <row r="376">
      <c r="C376" s="77"/>
    </row>
    <row r="377">
      <c r="C377" s="77"/>
    </row>
    <row r="378">
      <c r="C378" s="77"/>
    </row>
    <row r="379">
      <c r="C379" s="77"/>
    </row>
    <row r="380">
      <c r="C380" s="77"/>
    </row>
    <row r="381">
      <c r="C381" s="77"/>
    </row>
    <row r="382">
      <c r="C382" s="77"/>
    </row>
    <row r="383">
      <c r="C383" s="77"/>
    </row>
    <row r="384">
      <c r="C384" s="77"/>
    </row>
    <row r="385">
      <c r="C385" s="77"/>
    </row>
    <row r="386">
      <c r="C386" s="77"/>
    </row>
    <row r="387">
      <c r="C387" s="77"/>
    </row>
    <row r="388">
      <c r="C388" s="77"/>
    </row>
    <row r="389">
      <c r="C389" s="77"/>
    </row>
    <row r="390">
      <c r="C390" s="77"/>
    </row>
    <row r="391">
      <c r="C391" s="77"/>
    </row>
    <row r="392">
      <c r="C392" s="77"/>
    </row>
    <row r="393">
      <c r="C393" s="77"/>
    </row>
    <row r="394">
      <c r="C394" s="77"/>
    </row>
    <row r="395">
      <c r="C395" s="77"/>
    </row>
    <row r="396">
      <c r="C396" s="77"/>
    </row>
    <row r="397">
      <c r="C397" s="77"/>
    </row>
    <row r="398">
      <c r="C398" s="77"/>
    </row>
    <row r="399">
      <c r="C399" s="77"/>
    </row>
    <row r="400">
      <c r="C400" s="77"/>
    </row>
    <row r="401">
      <c r="C401" s="77"/>
    </row>
    <row r="402">
      <c r="C402" s="77"/>
    </row>
    <row r="403">
      <c r="C403" s="77"/>
    </row>
    <row r="404">
      <c r="C404" s="77"/>
    </row>
    <row r="405">
      <c r="C405" s="77"/>
    </row>
    <row r="406">
      <c r="C406" s="77"/>
    </row>
    <row r="407">
      <c r="C407" s="77"/>
    </row>
    <row r="408">
      <c r="C408" s="77"/>
    </row>
    <row r="409">
      <c r="C409" s="77"/>
    </row>
    <row r="410">
      <c r="C410" s="77"/>
    </row>
    <row r="411">
      <c r="C411" s="77"/>
    </row>
    <row r="412">
      <c r="C412" s="77"/>
    </row>
    <row r="413">
      <c r="C413" s="77"/>
    </row>
    <row r="414">
      <c r="C414" s="77"/>
    </row>
    <row r="415">
      <c r="C415" s="77"/>
    </row>
    <row r="416">
      <c r="C416" s="77"/>
    </row>
    <row r="417">
      <c r="C417" s="77"/>
    </row>
    <row r="418">
      <c r="C418" s="77"/>
    </row>
    <row r="419">
      <c r="C419" s="77"/>
    </row>
    <row r="420">
      <c r="C420" s="77"/>
    </row>
    <row r="421">
      <c r="C421" s="77"/>
    </row>
    <row r="422">
      <c r="C422" s="77"/>
    </row>
    <row r="423">
      <c r="C423" s="77"/>
    </row>
    <row r="424">
      <c r="C424" s="77"/>
    </row>
    <row r="425">
      <c r="C425" s="77"/>
    </row>
    <row r="426">
      <c r="C426" s="77"/>
    </row>
    <row r="427">
      <c r="C427" s="77"/>
    </row>
    <row r="428">
      <c r="C428" s="77"/>
    </row>
    <row r="429">
      <c r="C429" s="77"/>
    </row>
    <row r="430">
      <c r="C430" s="77"/>
    </row>
    <row r="431">
      <c r="C431" s="77"/>
    </row>
    <row r="432">
      <c r="C432" s="77"/>
    </row>
    <row r="433">
      <c r="C433" s="77"/>
    </row>
    <row r="434">
      <c r="C434" s="77"/>
    </row>
    <row r="435">
      <c r="C435" s="77"/>
    </row>
    <row r="436">
      <c r="C436" s="77"/>
    </row>
    <row r="437">
      <c r="C437" s="77"/>
    </row>
    <row r="438">
      <c r="C438" s="77"/>
    </row>
    <row r="439">
      <c r="C439" s="77"/>
    </row>
    <row r="440">
      <c r="C440" s="77"/>
    </row>
    <row r="441">
      <c r="C441" s="77"/>
    </row>
    <row r="442">
      <c r="C442" s="77"/>
    </row>
    <row r="443">
      <c r="C443" s="77"/>
    </row>
    <row r="444">
      <c r="C444" s="77"/>
    </row>
    <row r="445">
      <c r="C445" s="77"/>
    </row>
    <row r="446">
      <c r="C446" s="77"/>
    </row>
    <row r="447">
      <c r="C447" s="77"/>
    </row>
    <row r="448">
      <c r="C448" s="77"/>
    </row>
    <row r="449">
      <c r="C449" s="77"/>
    </row>
    <row r="450">
      <c r="C450" s="77"/>
    </row>
    <row r="451">
      <c r="C451" s="77"/>
    </row>
    <row r="452">
      <c r="C452" s="77"/>
    </row>
    <row r="453">
      <c r="C453" s="77"/>
    </row>
    <row r="454">
      <c r="C454" s="77"/>
    </row>
    <row r="455">
      <c r="C455" s="77"/>
    </row>
    <row r="456">
      <c r="C456" s="77"/>
    </row>
    <row r="457">
      <c r="C457" s="77"/>
    </row>
    <row r="458">
      <c r="C458" s="77"/>
    </row>
    <row r="459">
      <c r="C459" s="77"/>
    </row>
    <row r="460">
      <c r="C460" s="77"/>
    </row>
    <row r="461">
      <c r="C461" s="77"/>
    </row>
    <row r="462">
      <c r="C462" s="77"/>
    </row>
    <row r="463">
      <c r="C463" s="77"/>
    </row>
    <row r="464">
      <c r="C464" s="77"/>
    </row>
    <row r="465">
      <c r="C465" s="77"/>
    </row>
    <row r="466">
      <c r="C466" s="77"/>
    </row>
    <row r="467">
      <c r="C467" s="77"/>
    </row>
    <row r="468">
      <c r="C468" s="77"/>
    </row>
    <row r="469">
      <c r="C469" s="77"/>
    </row>
    <row r="470">
      <c r="C470" s="77"/>
    </row>
    <row r="471">
      <c r="C471" s="77"/>
    </row>
    <row r="472">
      <c r="C472" s="77"/>
    </row>
    <row r="473">
      <c r="C473" s="77"/>
    </row>
    <row r="474">
      <c r="C474" s="77"/>
    </row>
    <row r="475">
      <c r="C475" s="77"/>
    </row>
    <row r="476">
      <c r="C476" s="77"/>
    </row>
    <row r="477">
      <c r="C477" s="77"/>
    </row>
    <row r="478">
      <c r="C478" s="77"/>
    </row>
    <row r="479">
      <c r="C479" s="77"/>
    </row>
    <row r="480">
      <c r="C480" s="77"/>
    </row>
    <row r="481">
      <c r="C481" s="77"/>
    </row>
    <row r="482">
      <c r="C482" s="77"/>
    </row>
    <row r="483">
      <c r="C483" s="77"/>
    </row>
    <row r="484">
      <c r="C484" s="77"/>
    </row>
    <row r="485">
      <c r="C485" s="77"/>
    </row>
    <row r="486">
      <c r="C486" s="77"/>
    </row>
    <row r="487">
      <c r="C487" s="77"/>
    </row>
    <row r="488">
      <c r="C488" s="77"/>
    </row>
    <row r="489">
      <c r="C489" s="77"/>
    </row>
    <row r="490">
      <c r="C490" s="77"/>
    </row>
    <row r="491">
      <c r="C491" s="77"/>
    </row>
    <row r="492">
      <c r="C492" s="77"/>
    </row>
    <row r="493">
      <c r="C493" s="77"/>
    </row>
    <row r="494">
      <c r="C494" s="77"/>
    </row>
    <row r="495">
      <c r="C495" s="77"/>
    </row>
    <row r="496">
      <c r="C496" s="77"/>
    </row>
    <row r="497">
      <c r="C497" s="77"/>
    </row>
    <row r="498">
      <c r="C498" s="77"/>
    </row>
    <row r="499">
      <c r="C499" s="77"/>
    </row>
    <row r="500">
      <c r="C500" s="77"/>
    </row>
    <row r="501">
      <c r="C501" s="77"/>
    </row>
    <row r="502">
      <c r="C502" s="77"/>
    </row>
    <row r="503">
      <c r="C503" s="77"/>
    </row>
    <row r="504">
      <c r="C504" s="77"/>
    </row>
    <row r="505">
      <c r="C505" s="77"/>
    </row>
    <row r="506">
      <c r="C506" s="77"/>
    </row>
    <row r="507">
      <c r="C507" s="77"/>
    </row>
    <row r="508">
      <c r="C508" s="77"/>
    </row>
    <row r="509">
      <c r="C509" s="77"/>
    </row>
    <row r="510">
      <c r="C510" s="77"/>
    </row>
    <row r="511">
      <c r="C511" s="77"/>
    </row>
    <row r="512">
      <c r="C512" s="77"/>
    </row>
    <row r="513">
      <c r="C513" s="77"/>
    </row>
    <row r="514">
      <c r="C514" s="77"/>
    </row>
    <row r="515">
      <c r="C515" s="77"/>
    </row>
    <row r="516">
      <c r="C516" s="77"/>
    </row>
    <row r="517">
      <c r="C517" s="77"/>
    </row>
    <row r="518">
      <c r="C518" s="77"/>
    </row>
    <row r="519">
      <c r="C519" s="77"/>
    </row>
    <row r="520">
      <c r="C520" s="77"/>
    </row>
    <row r="521">
      <c r="C521" s="77"/>
    </row>
    <row r="522">
      <c r="C522" s="77"/>
    </row>
    <row r="523">
      <c r="C523" s="77"/>
    </row>
    <row r="524">
      <c r="C524" s="77"/>
    </row>
    <row r="525">
      <c r="C525" s="77"/>
    </row>
    <row r="526">
      <c r="C526" s="77"/>
    </row>
    <row r="527">
      <c r="C527" s="77"/>
    </row>
    <row r="528">
      <c r="C528" s="77"/>
    </row>
    <row r="529">
      <c r="C529" s="77"/>
    </row>
    <row r="530">
      <c r="C530" s="77"/>
    </row>
    <row r="531">
      <c r="C531" s="77"/>
    </row>
    <row r="532">
      <c r="C532" s="77"/>
    </row>
    <row r="533">
      <c r="C533" s="77"/>
    </row>
    <row r="534">
      <c r="C534" s="77"/>
    </row>
    <row r="535">
      <c r="C535" s="77"/>
    </row>
    <row r="536">
      <c r="C536" s="77"/>
    </row>
    <row r="537">
      <c r="C537" s="77"/>
    </row>
    <row r="538">
      <c r="C538" s="77"/>
    </row>
    <row r="539">
      <c r="C539" s="77"/>
    </row>
    <row r="540">
      <c r="C540" s="77"/>
    </row>
    <row r="541">
      <c r="C541" s="77"/>
    </row>
    <row r="542">
      <c r="C542" s="77"/>
    </row>
    <row r="543">
      <c r="C543" s="77"/>
    </row>
    <row r="544">
      <c r="C544" s="77"/>
    </row>
    <row r="545">
      <c r="C545" s="77"/>
    </row>
    <row r="546">
      <c r="C546" s="77"/>
    </row>
    <row r="547">
      <c r="C547" s="77"/>
    </row>
    <row r="548">
      <c r="C548" s="77"/>
    </row>
    <row r="549">
      <c r="C549" s="77"/>
    </row>
    <row r="550">
      <c r="C550" s="77"/>
    </row>
    <row r="551">
      <c r="C551" s="77"/>
    </row>
    <row r="552">
      <c r="C552" s="77"/>
    </row>
    <row r="553">
      <c r="C553" s="77"/>
    </row>
    <row r="554">
      <c r="C554" s="77"/>
    </row>
    <row r="555">
      <c r="C555" s="77"/>
    </row>
    <row r="556">
      <c r="C556" s="77"/>
    </row>
    <row r="557">
      <c r="C557" s="77"/>
    </row>
    <row r="558">
      <c r="C558" s="77"/>
    </row>
    <row r="559">
      <c r="C559" s="77"/>
    </row>
    <row r="560">
      <c r="C560" s="77"/>
    </row>
    <row r="561">
      <c r="C561" s="77"/>
    </row>
    <row r="562">
      <c r="C562" s="77"/>
    </row>
    <row r="563">
      <c r="C563" s="77"/>
    </row>
    <row r="564">
      <c r="C564" s="77"/>
    </row>
    <row r="565">
      <c r="C565" s="77"/>
    </row>
    <row r="566">
      <c r="C566" s="77"/>
    </row>
    <row r="567">
      <c r="C567" s="77"/>
    </row>
    <row r="568">
      <c r="C568" s="77"/>
    </row>
    <row r="569">
      <c r="C569" s="77"/>
    </row>
    <row r="570">
      <c r="C570" s="77"/>
    </row>
    <row r="571">
      <c r="C571" s="77"/>
    </row>
    <row r="572">
      <c r="C572" s="77"/>
    </row>
    <row r="573">
      <c r="C573" s="77"/>
    </row>
    <row r="574">
      <c r="C574" s="77"/>
    </row>
    <row r="575">
      <c r="C575" s="77"/>
    </row>
    <row r="576">
      <c r="C576" s="77"/>
    </row>
    <row r="577">
      <c r="C577" s="77"/>
    </row>
    <row r="578">
      <c r="C578" s="77"/>
    </row>
    <row r="579">
      <c r="C579" s="77"/>
    </row>
    <row r="580">
      <c r="C580" s="77"/>
    </row>
    <row r="581">
      <c r="C581" s="77"/>
    </row>
    <row r="582">
      <c r="C582" s="77"/>
    </row>
    <row r="583">
      <c r="C583" s="77"/>
    </row>
    <row r="584">
      <c r="C584" s="77"/>
    </row>
    <row r="585">
      <c r="C585" s="77"/>
    </row>
    <row r="586">
      <c r="C586" s="77"/>
    </row>
    <row r="587">
      <c r="C587" s="77"/>
    </row>
    <row r="588">
      <c r="C588" s="77"/>
    </row>
    <row r="589">
      <c r="C589" s="77"/>
    </row>
    <row r="590">
      <c r="C590" s="77"/>
    </row>
    <row r="591">
      <c r="C591" s="77"/>
    </row>
    <row r="592">
      <c r="C592" s="77"/>
    </row>
    <row r="593">
      <c r="C593" s="77"/>
    </row>
    <row r="594">
      <c r="C594" s="77"/>
    </row>
    <row r="595">
      <c r="C595" s="77"/>
    </row>
    <row r="596">
      <c r="C596" s="77"/>
    </row>
    <row r="597">
      <c r="C597" s="77"/>
    </row>
    <row r="598">
      <c r="C598" s="77"/>
    </row>
    <row r="599">
      <c r="C599" s="77"/>
    </row>
    <row r="600">
      <c r="C600" s="77"/>
    </row>
    <row r="601">
      <c r="C601" s="77"/>
    </row>
    <row r="602">
      <c r="C602" s="77"/>
    </row>
    <row r="603">
      <c r="C603" s="77"/>
    </row>
    <row r="604">
      <c r="C604" s="77"/>
    </row>
    <row r="605">
      <c r="C605" s="77"/>
    </row>
    <row r="606">
      <c r="C606" s="77"/>
    </row>
    <row r="607">
      <c r="C607" s="77"/>
    </row>
    <row r="608">
      <c r="C608" s="77"/>
    </row>
    <row r="609">
      <c r="C609" s="77"/>
    </row>
    <row r="610">
      <c r="C610" s="77"/>
    </row>
    <row r="611">
      <c r="C611" s="77"/>
    </row>
    <row r="612">
      <c r="C612" s="77"/>
    </row>
    <row r="613">
      <c r="C613" s="77"/>
    </row>
    <row r="614">
      <c r="C614" s="77"/>
    </row>
    <row r="615">
      <c r="C615" s="77"/>
    </row>
    <row r="616">
      <c r="C616" s="77"/>
    </row>
    <row r="617">
      <c r="C617" s="77"/>
    </row>
    <row r="618">
      <c r="C618" s="77"/>
    </row>
    <row r="619">
      <c r="C619" s="77"/>
    </row>
    <row r="620">
      <c r="C620" s="77"/>
    </row>
    <row r="621">
      <c r="C621" s="77"/>
    </row>
    <row r="622">
      <c r="C622" s="77"/>
    </row>
    <row r="623">
      <c r="C623" s="77"/>
    </row>
    <row r="624">
      <c r="C624" s="77"/>
    </row>
    <row r="625">
      <c r="C625" s="77"/>
    </row>
    <row r="626">
      <c r="C626" s="77"/>
    </row>
    <row r="627">
      <c r="C627" s="77"/>
    </row>
    <row r="628">
      <c r="C628" s="77"/>
    </row>
    <row r="629">
      <c r="C629" s="77"/>
    </row>
    <row r="630">
      <c r="C630" s="77"/>
    </row>
    <row r="631">
      <c r="C631" s="77"/>
    </row>
    <row r="632">
      <c r="C632" s="77"/>
    </row>
    <row r="633">
      <c r="C633" s="77"/>
    </row>
    <row r="634">
      <c r="C634" s="77"/>
    </row>
    <row r="635">
      <c r="C635" s="77"/>
    </row>
    <row r="636">
      <c r="C636" s="77"/>
    </row>
    <row r="637">
      <c r="C637" s="77"/>
    </row>
    <row r="638">
      <c r="C638" s="77"/>
    </row>
    <row r="639">
      <c r="C639" s="77"/>
    </row>
    <row r="640">
      <c r="C640" s="77"/>
    </row>
    <row r="641">
      <c r="C641" s="77"/>
    </row>
    <row r="642">
      <c r="C642" s="77"/>
    </row>
    <row r="643">
      <c r="C643" s="77"/>
    </row>
    <row r="644">
      <c r="C644" s="77"/>
    </row>
    <row r="645">
      <c r="C645" s="77"/>
    </row>
    <row r="646">
      <c r="C646" s="77"/>
    </row>
    <row r="647">
      <c r="C647" s="77"/>
    </row>
    <row r="648">
      <c r="C648" s="77"/>
    </row>
    <row r="649">
      <c r="C649" s="77"/>
    </row>
    <row r="650">
      <c r="C650" s="77"/>
    </row>
    <row r="651">
      <c r="C651" s="77"/>
    </row>
    <row r="652">
      <c r="C652" s="77"/>
    </row>
    <row r="653">
      <c r="C653" s="77"/>
    </row>
    <row r="654">
      <c r="C654" s="77"/>
    </row>
    <row r="655">
      <c r="C655" s="77"/>
    </row>
    <row r="656">
      <c r="C656" s="77"/>
    </row>
    <row r="657">
      <c r="C657" s="77"/>
    </row>
    <row r="658">
      <c r="C658" s="77"/>
    </row>
    <row r="659">
      <c r="C659" s="77"/>
    </row>
    <row r="660">
      <c r="C660" s="77"/>
    </row>
    <row r="661">
      <c r="C661" s="77"/>
    </row>
    <row r="662">
      <c r="C662" s="77"/>
    </row>
    <row r="663">
      <c r="C663" s="77"/>
    </row>
    <row r="664">
      <c r="C664" s="77"/>
    </row>
    <row r="665">
      <c r="C665" s="77"/>
    </row>
    <row r="666">
      <c r="C666" s="77"/>
    </row>
    <row r="667">
      <c r="C667" s="77"/>
    </row>
    <row r="668">
      <c r="C668" s="77"/>
    </row>
    <row r="669">
      <c r="C669" s="77"/>
    </row>
    <row r="670">
      <c r="C670" s="77"/>
    </row>
    <row r="671">
      <c r="C671" s="77"/>
    </row>
    <row r="672">
      <c r="C672" s="77"/>
    </row>
    <row r="673">
      <c r="C673" s="77"/>
    </row>
    <row r="674">
      <c r="C674" s="77"/>
    </row>
    <row r="675">
      <c r="C675" s="77"/>
    </row>
    <row r="676">
      <c r="C676" s="77"/>
    </row>
    <row r="677">
      <c r="C677" s="77"/>
    </row>
    <row r="678">
      <c r="C678" s="77"/>
    </row>
    <row r="679">
      <c r="C679" s="77"/>
    </row>
    <row r="680">
      <c r="C680" s="77"/>
    </row>
    <row r="681">
      <c r="C681" s="77"/>
    </row>
    <row r="682">
      <c r="C682" s="77"/>
    </row>
    <row r="683">
      <c r="C683" s="77"/>
    </row>
    <row r="684">
      <c r="C684" s="77"/>
    </row>
    <row r="685">
      <c r="C685" s="77"/>
    </row>
    <row r="686">
      <c r="C686" s="77"/>
    </row>
    <row r="687">
      <c r="C687" s="77"/>
    </row>
    <row r="688">
      <c r="C688" s="77"/>
    </row>
    <row r="689">
      <c r="C689" s="77"/>
    </row>
    <row r="690">
      <c r="C690" s="77"/>
    </row>
    <row r="691">
      <c r="C691" s="77"/>
    </row>
    <row r="692">
      <c r="C692" s="77"/>
    </row>
    <row r="693">
      <c r="C693" s="77"/>
    </row>
    <row r="694">
      <c r="C694" s="77"/>
    </row>
    <row r="695">
      <c r="C695" s="77"/>
    </row>
    <row r="696">
      <c r="C696" s="77"/>
    </row>
    <row r="697">
      <c r="C697" s="77"/>
    </row>
    <row r="698">
      <c r="C698" s="77"/>
    </row>
    <row r="699">
      <c r="C699" s="77"/>
    </row>
    <row r="700">
      <c r="C700" s="77"/>
    </row>
    <row r="701">
      <c r="C701" s="77"/>
    </row>
    <row r="702">
      <c r="C702" s="77"/>
    </row>
    <row r="703">
      <c r="C703" s="77"/>
    </row>
    <row r="704">
      <c r="C704" s="77"/>
    </row>
    <row r="705">
      <c r="C705" s="77"/>
    </row>
    <row r="706">
      <c r="C706" s="77"/>
    </row>
    <row r="707">
      <c r="C707" s="77"/>
    </row>
    <row r="708">
      <c r="C708" s="77"/>
    </row>
    <row r="709">
      <c r="C709" s="77"/>
    </row>
    <row r="710">
      <c r="C710" s="77"/>
    </row>
    <row r="711">
      <c r="C711" s="77"/>
    </row>
    <row r="712">
      <c r="C712" s="77"/>
    </row>
    <row r="713">
      <c r="C713" s="77"/>
    </row>
    <row r="714">
      <c r="C714" s="77"/>
    </row>
    <row r="715">
      <c r="C715" s="77"/>
    </row>
    <row r="716">
      <c r="C716" s="77"/>
    </row>
    <row r="717">
      <c r="C717" s="77"/>
    </row>
    <row r="718">
      <c r="C718" s="77"/>
    </row>
    <row r="719">
      <c r="C719" s="77"/>
    </row>
    <row r="720">
      <c r="C720" s="77"/>
    </row>
    <row r="721">
      <c r="C721" s="77"/>
    </row>
    <row r="722">
      <c r="C722" s="77"/>
    </row>
    <row r="723">
      <c r="C723" s="77"/>
    </row>
    <row r="724">
      <c r="C724" s="77"/>
    </row>
    <row r="725">
      <c r="C725" s="77"/>
    </row>
    <row r="726">
      <c r="C726" s="77"/>
    </row>
    <row r="727">
      <c r="C727" s="77"/>
    </row>
    <row r="728">
      <c r="C728" s="77"/>
    </row>
    <row r="729">
      <c r="C729" s="77"/>
    </row>
    <row r="730">
      <c r="C730" s="77"/>
    </row>
    <row r="731">
      <c r="C731" s="77"/>
    </row>
    <row r="732">
      <c r="C732" s="77"/>
    </row>
    <row r="733">
      <c r="C733" s="77"/>
    </row>
    <row r="734">
      <c r="C734" s="77"/>
    </row>
    <row r="735">
      <c r="C735" s="77"/>
    </row>
    <row r="736">
      <c r="C736" s="77"/>
    </row>
    <row r="737">
      <c r="C737" s="77"/>
    </row>
    <row r="738">
      <c r="C738" s="77"/>
    </row>
    <row r="739">
      <c r="C739" s="77"/>
    </row>
    <row r="740">
      <c r="C740" s="77"/>
    </row>
    <row r="741">
      <c r="C741" s="77"/>
    </row>
    <row r="742">
      <c r="C742" s="77"/>
    </row>
    <row r="743">
      <c r="C743" s="77"/>
    </row>
    <row r="744">
      <c r="C744" s="77"/>
    </row>
    <row r="745">
      <c r="C745" s="77"/>
    </row>
    <row r="746">
      <c r="C746" s="77"/>
    </row>
    <row r="747">
      <c r="C747" s="77"/>
    </row>
    <row r="748">
      <c r="C748" s="77"/>
    </row>
    <row r="749">
      <c r="C749" s="77"/>
    </row>
    <row r="750">
      <c r="C750" s="77"/>
    </row>
    <row r="751">
      <c r="C751" s="77"/>
    </row>
    <row r="752">
      <c r="C752" s="77"/>
    </row>
    <row r="753">
      <c r="C753" s="77"/>
    </row>
    <row r="754">
      <c r="C754" s="77"/>
    </row>
    <row r="755">
      <c r="C755" s="77"/>
    </row>
    <row r="756">
      <c r="C756" s="77"/>
    </row>
    <row r="757">
      <c r="C757" s="77"/>
    </row>
    <row r="758">
      <c r="C758" s="77"/>
    </row>
    <row r="759">
      <c r="C759" s="77"/>
    </row>
    <row r="760">
      <c r="C760" s="77"/>
    </row>
    <row r="761">
      <c r="C761" s="77"/>
    </row>
    <row r="762">
      <c r="C762" s="77"/>
    </row>
    <row r="763">
      <c r="C763" s="77"/>
    </row>
    <row r="764">
      <c r="C764" s="77"/>
    </row>
    <row r="765">
      <c r="C765" s="77"/>
    </row>
    <row r="766">
      <c r="C766" s="77"/>
    </row>
    <row r="767">
      <c r="C767" s="77"/>
    </row>
    <row r="768">
      <c r="C768" s="77"/>
    </row>
    <row r="769">
      <c r="C769" s="77"/>
    </row>
    <row r="770">
      <c r="C770" s="77"/>
    </row>
    <row r="771">
      <c r="C771" s="77"/>
    </row>
    <row r="772">
      <c r="C772" s="77"/>
    </row>
    <row r="773">
      <c r="C773" s="77"/>
    </row>
    <row r="774">
      <c r="C774" s="77"/>
    </row>
    <row r="775">
      <c r="C775" s="77"/>
    </row>
    <row r="776">
      <c r="C776" s="77"/>
    </row>
    <row r="777">
      <c r="C777" s="77"/>
    </row>
    <row r="778">
      <c r="C778" s="77"/>
    </row>
    <row r="779">
      <c r="C779" s="77"/>
    </row>
    <row r="780">
      <c r="C780" s="77"/>
    </row>
    <row r="781">
      <c r="C781" s="77"/>
    </row>
    <row r="782">
      <c r="C782" s="77"/>
    </row>
    <row r="783">
      <c r="C783" s="77"/>
    </row>
    <row r="784">
      <c r="C784" s="77"/>
    </row>
    <row r="785">
      <c r="C785" s="77"/>
    </row>
    <row r="786">
      <c r="C786" s="77"/>
    </row>
    <row r="787">
      <c r="C787" s="77"/>
    </row>
    <row r="788">
      <c r="C788" s="77"/>
    </row>
    <row r="789">
      <c r="C789" s="77"/>
    </row>
    <row r="790">
      <c r="C790" s="77"/>
    </row>
    <row r="791">
      <c r="C791" s="77"/>
    </row>
    <row r="792">
      <c r="C792" s="77"/>
    </row>
    <row r="793">
      <c r="C793" s="77"/>
    </row>
    <row r="794">
      <c r="C794" s="77"/>
    </row>
    <row r="795">
      <c r="C795" s="77"/>
    </row>
    <row r="796">
      <c r="C796" s="77"/>
    </row>
    <row r="797">
      <c r="C797" s="77"/>
    </row>
    <row r="798">
      <c r="C798" s="77"/>
    </row>
    <row r="799">
      <c r="C799" s="77"/>
    </row>
    <row r="800">
      <c r="C800" s="77"/>
    </row>
    <row r="801">
      <c r="C801" s="77"/>
    </row>
    <row r="802">
      <c r="C802" s="77"/>
    </row>
    <row r="803">
      <c r="C803" s="77"/>
    </row>
    <row r="804">
      <c r="C804" s="77"/>
    </row>
    <row r="805">
      <c r="C805" s="77"/>
    </row>
    <row r="806">
      <c r="C806" s="77"/>
    </row>
    <row r="807">
      <c r="C807" s="77"/>
    </row>
    <row r="808">
      <c r="C808" s="77"/>
    </row>
    <row r="809">
      <c r="C809" s="77"/>
    </row>
    <row r="810">
      <c r="C810" s="77"/>
    </row>
    <row r="811">
      <c r="C811" s="77"/>
    </row>
    <row r="812">
      <c r="C812" s="77"/>
    </row>
    <row r="813">
      <c r="C813" s="77"/>
    </row>
    <row r="814">
      <c r="C814" s="77"/>
    </row>
    <row r="815">
      <c r="C815" s="77"/>
    </row>
    <row r="816">
      <c r="C816" s="77"/>
    </row>
    <row r="817">
      <c r="C817" s="77"/>
    </row>
    <row r="818">
      <c r="C818" s="77"/>
    </row>
    <row r="819">
      <c r="C819" s="77"/>
    </row>
    <row r="820">
      <c r="C820" s="77"/>
    </row>
    <row r="821">
      <c r="C821" s="77"/>
    </row>
    <row r="822">
      <c r="C822" s="77"/>
    </row>
    <row r="823">
      <c r="C823" s="77"/>
    </row>
    <row r="824">
      <c r="C824" s="77"/>
    </row>
    <row r="825">
      <c r="C825" s="77"/>
    </row>
    <row r="826">
      <c r="C826" s="77"/>
    </row>
    <row r="827">
      <c r="C827" s="77"/>
    </row>
    <row r="828">
      <c r="C828" s="77"/>
    </row>
    <row r="829">
      <c r="C829" s="77"/>
    </row>
    <row r="830">
      <c r="C830" s="77"/>
    </row>
    <row r="831">
      <c r="C831" s="77"/>
    </row>
    <row r="832">
      <c r="C832" s="77"/>
    </row>
    <row r="833">
      <c r="C833" s="77"/>
    </row>
    <row r="834">
      <c r="C834" s="77"/>
    </row>
    <row r="835">
      <c r="C835" s="77"/>
    </row>
    <row r="836">
      <c r="C836" s="77"/>
    </row>
    <row r="837">
      <c r="C837" s="77"/>
    </row>
    <row r="838">
      <c r="C838" s="77"/>
    </row>
    <row r="839">
      <c r="C839" s="77"/>
    </row>
    <row r="840">
      <c r="C840" s="77"/>
    </row>
    <row r="841">
      <c r="C841" s="77"/>
    </row>
    <row r="842">
      <c r="C842" s="77"/>
    </row>
    <row r="843">
      <c r="C843" s="77"/>
    </row>
    <row r="844">
      <c r="C844" s="77"/>
    </row>
    <row r="845">
      <c r="C845" s="77"/>
    </row>
    <row r="846">
      <c r="C846" s="77"/>
    </row>
    <row r="847">
      <c r="C847" s="77"/>
    </row>
    <row r="848">
      <c r="C848" s="77"/>
    </row>
    <row r="849">
      <c r="C849" s="77"/>
    </row>
    <row r="850">
      <c r="C850" s="77"/>
    </row>
    <row r="851">
      <c r="C851" s="77"/>
    </row>
    <row r="852">
      <c r="C852" s="77"/>
    </row>
    <row r="853">
      <c r="C853" s="77"/>
    </row>
    <row r="854">
      <c r="C854" s="77"/>
    </row>
    <row r="855">
      <c r="C855" s="77"/>
    </row>
    <row r="856">
      <c r="C856" s="77"/>
    </row>
    <row r="857">
      <c r="C857" s="77"/>
    </row>
    <row r="858">
      <c r="C858" s="77"/>
    </row>
    <row r="859">
      <c r="C859" s="77"/>
    </row>
    <row r="860">
      <c r="C860" s="77"/>
    </row>
    <row r="861">
      <c r="C861" s="77"/>
    </row>
    <row r="862">
      <c r="C862" s="77"/>
    </row>
    <row r="863">
      <c r="C863" s="77"/>
    </row>
    <row r="864">
      <c r="C864" s="77"/>
    </row>
    <row r="865">
      <c r="C865" s="77"/>
    </row>
    <row r="866">
      <c r="C866" s="77"/>
    </row>
    <row r="867">
      <c r="C867" s="77"/>
    </row>
    <row r="868">
      <c r="C868" s="77"/>
    </row>
    <row r="869">
      <c r="C869" s="77"/>
    </row>
    <row r="870">
      <c r="C870" s="77"/>
    </row>
    <row r="871">
      <c r="C871" s="77"/>
    </row>
    <row r="872">
      <c r="C872" s="77"/>
    </row>
    <row r="873">
      <c r="C873" s="77"/>
    </row>
    <row r="874">
      <c r="C874" s="77"/>
    </row>
    <row r="875">
      <c r="C875" s="77"/>
    </row>
    <row r="876">
      <c r="C876" s="77"/>
    </row>
    <row r="877">
      <c r="C877" s="77"/>
    </row>
    <row r="878">
      <c r="C878" s="77"/>
    </row>
    <row r="879">
      <c r="C879" s="77"/>
    </row>
    <row r="880">
      <c r="C880" s="77"/>
    </row>
    <row r="881">
      <c r="C881" s="77"/>
    </row>
    <row r="882">
      <c r="C882" s="77"/>
    </row>
    <row r="883">
      <c r="C883" s="77"/>
    </row>
    <row r="884">
      <c r="C884" s="77"/>
    </row>
    <row r="885">
      <c r="C885" s="77"/>
    </row>
    <row r="886">
      <c r="C886" s="77"/>
    </row>
    <row r="887">
      <c r="C887" s="77"/>
    </row>
    <row r="888">
      <c r="C888" s="77"/>
    </row>
    <row r="889">
      <c r="C889" s="77"/>
    </row>
    <row r="890">
      <c r="C890" s="77"/>
    </row>
    <row r="891">
      <c r="C891" s="77"/>
    </row>
    <row r="892">
      <c r="C892" s="77"/>
    </row>
    <row r="893">
      <c r="C893" s="77"/>
    </row>
    <row r="894">
      <c r="C894" s="77"/>
    </row>
    <row r="895">
      <c r="C895" s="77"/>
    </row>
    <row r="896">
      <c r="C896" s="77"/>
    </row>
    <row r="897">
      <c r="C897" s="77"/>
    </row>
    <row r="898">
      <c r="C898" s="77"/>
    </row>
    <row r="899">
      <c r="C899" s="77"/>
    </row>
    <row r="900">
      <c r="C900" s="77"/>
    </row>
    <row r="901">
      <c r="C901" s="77"/>
    </row>
    <row r="902">
      <c r="C902" s="77"/>
    </row>
    <row r="903">
      <c r="C903" s="77"/>
    </row>
    <row r="904">
      <c r="C904" s="77"/>
    </row>
    <row r="905">
      <c r="C905" s="77"/>
    </row>
    <row r="906">
      <c r="C906" s="77"/>
    </row>
    <row r="907">
      <c r="C907" s="77"/>
    </row>
    <row r="908">
      <c r="C908" s="77"/>
    </row>
    <row r="909">
      <c r="C909" s="77"/>
    </row>
    <row r="910">
      <c r="C910" s="77"/>
    </row>
    <row r="911">
      <c r="C911" s="77"/>
    </row>
    <row r="912">
      <c r="C912" s="77"/>
    </row>
    <row r="913">
      <c r="C913" s="77"/>
    </row>
    <row r="914">
      <c r="C914" s="77"/>
    </row>
    <row r="915">
      <c r="C915" s="77"/>
    </row>
    <row r="916">
      <c r="C916" s="77"/>
    </row>
    <row r="917">
      <c r="C917" s="77"/>
    </row>
    <row r="918">
      <c r="C918" s="77"/>
    </row>
    <row r="919">
      <c r="C919" s="77"/>
    </row>
    <row r="920">
      <c r="C920" s="77"/>
    </row>
    <row r="921">
      <c r="C921" s="77"/>
    </row>
    <row r="922">
      <c r="C922" s="77"/>
    </row>
    <row r="923">
      <c r="C923" s="77"/>
    </row>
    <row r="924">
      <c r="C924" s="77"/>
    </row>
    <row r="925">
      <c r="C925" s="77"/>
    </row>
    <row r="926">
      <c r="C926" s="77"/>
    </row>
    <row r="927">
      <c r="C927" s="77"/>
    </row>
    <row r="928">
      <c r="C928" s="77"/>
    </row>
    <row r="929">
      <c r="C929" s="77"/>
    </row>
    <row r="930">
      <c r="C930" s="77"/>
    </row>
    <row r="931">
      <c r="C931" s="77"/>
    </row>
    <row r="932">
      <c r="C932" s="77"/>
    </row>
    <row r="933">
      <c r="C933" s="77"/>
    </row>
    <row r="934">
      <c r="C934" s="77"/>
    </row>
    <row r="935">
      <c r="C935" s="77"/>
    </row>
    <row r="936">
      <c r="C936" s="77"/>
    </row>
    <row r="937">
      <c r="C937" s="77"/>
    </row>
    <row r="938">
      <c r="C938" s="77"/>
    </row>
    <row r="939">
      <c r="C939" s="77"/>
    </row>
    <row r="940">
      <c r="C940" s="77"/>
    </row>
    <row r="941">
      <c r="C941" s="77"/>
    </row>
    <row r="942">
      <c r="C942" s="77"/>
    </row>
    <row r="943">
      <c r="C943" s="77"/>
    </row>
    <row r="944">
      <c r="C944" s="77"/>
    </row>
    <row r="945">
      <c r="C945" s="77"/>
    </row>
    <row r="946">
      <c r="C946" s="77"/>
    </row>
    <row r="947">
      <c r="C947" s="77"/>
    </row>
    <row r="948">
      <c r="C948" s="77"/>
    </row>
    <row r="949">
      <c r="C949" s="77"/>
    </row>
    <row r="950">
      <c r="C950" s="77"/>
    </row>
    <row r="951">
      <c r="C951" s="77"/>
    </row>
    <row r="952">
      <c r="C952" s="77"/>
    </row>
    <row r="953">
      <c r="C953" s="77"/>
    </row>
    <row r="954">
      <c r="C954" s="77"/>
    </row>
    <row r="955">
      <c r="C955" s="77"/>
    </row>
    <row r="956">
      <c r="C956" s="77"/>
    </row>
    <row r="957">
      <c r="C957" s="77"/>
    </row>
    <row r="958">
      <c r="C958" s="77"/>
    </row>
    <row r="959">
      <c r="C959" s="77"/>
    </row>
    <row r="960">
      <c r="C960" s="77"/>
    </row>
    <row r="961">
      <c r="C961" s="77"/>
    </row>
    <row r="962">
      <c r="C962" s="77"/>
    </row>
    <row r="963">
      <c r="C963" s="77"/>
    </row>
    <row r="964">
      <c r="C964" s="77"/>
    </row>
    <row r="965">
      <c r="C965" s="77"/>
    </row>
    <row r="966">
      <c r="C966" s="77"/>
    </row>
    <row r="967">
      <c r="C967" s="77"/>
    </row>
    <row r="968">
      <c r="C968" s="77"/>
    </row>
    <row r="969">
      <c r="C969" s="77"/>
    </row>
    <row r="970">
      <c r="C970" s="77"/>
    </row>
    <row r="971">
      <c r="C971" s="77"/>
    </row>
    <row r="972">
      <c r="C972" s="77"/>
    </row>
    <row r="973">
      <c r="C973" s="77"/>
    </row>
    <row r="974">
      <c r="C974" s="77"/>
    </row>
    <row r="975">
      <c r="C975" s="77"/>
    </row>
    <row r="976">
      <c r="C976" s="77"/>
    </row>
    <row r="977">
      <c r="C977" s="77"/>
    </row>
    <row r="978">
      <c r="C978" s="77"/>
    </row>
    <row r="979">
      <c r="C979" s="77"/>
    </row>
    <row r="980">
      <c r="C980" s="77"/>
    </row>
    <row r="981">
      <c r="C981" s="77"/>
    </row>
    <row r="982">
      <c r="C982" s="77"/>
    </row>
    <row r="983">
      <c r="C983" s="77"/>
    </row>
    <row r="984">
      <c r="C984" s="77"/>
    </row>
    <row r="985">
      <c r="C985" s="77"/>
    </row>
    <row r="986">
      <c r="C986" s="77"/>
    </row>
    <row r="987">
      <c r="C987" s="77"/>
    </row>
    <row r="988">
      <c r="C988" s="77"/>
    </row>
    <row r="989">
      <c r="C989" s="77"/>
    </row>
    <row r="990">
      <c r="C990" s="77"/>
    </row>
    <row r="991">
      <c r="C991" s="77"/>
    </row>
    <row r="992">
      <c r="C992" s="77"/>
    </row>
    <row r="993">
      <c r="C993" s="77"/>
    </row>
    <row r="994">
      <c r="C994" s="77"/>
    </row>
    <row r="995">
      <c r="C995" s="77"/>
    </row>
    <row r="996">
      <c r="C996" s="77"/>
    </row>
    <row r="997">
      <c r="C997" s="77"/>
    </row>
    <row r="998">
      <c r="C998" s="77"/>
    </row>
  </sheetData>
  <dataValidations>
    <dataValidation type="list" allowBlank="1" sqref="J3:J4 J7 J9:J13 J16:J19 J24:J25 J29:J31 J37">
      <formula1>"Expert,BN,Ambos"</formula1>
    </dataValidation>
    <dataValidation type="list" allowBlank="1" sqref="K3:K4 K7 K9:K13 K16:K19 K24:K25 K29:K31 K37">
      <formula1>"MUST_DOM,MUST_ECO,MUST_LING,COBERTURA_GERAL,DESEMPATE_DOM,DESEMPATE_ECO,DESEMPATE_LING,OUTRO"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26.75"/>
    <col customWidth="1" min="3" max="3" width="39.88"/>
    <col customWidth="1" min="4" max="4" width="19.5"/>
    <col customWidth="1" min="5" max="5" width="25.25"/>
  </cols>
  <sheetData>
    <row r="1">
      <c r="A1" s="47" t="s">
        <v>326</v>
      </c>
      <c r="B1" s="47" t="s">
        <v>446</v>
      </c>
      <c r="C1" s="47" t="s">
        <v>447</v>
      </c>
      <c r="D1" s="47" t="s">
        <v>448</v>
      </c>
      <c r="E1" s="47" t="s">
        <v>338</v>
      </c>
    </row>
    <row r="2">
      <c r="A2" s="81" t="s">
        <v>104</v>
      </c>
      <c r="B2" s="82" t="s">
        <v>450</v>
      </c>
      <c r="C2" s="83" t="s">
        <v>451</v>
      </c>
      <c r="D2" s="84" t="s">
        <v>452</v>
      </c>
      <c r="E2" s="85"/>
    </row>
    <row r="3">
      <c r="A3" s="86" t="s">
        <v>124</v>
      </c>
      <c r="B3" s="6" t="s">
        <v>453</v>
      </c>
      <c r="C3" s="87" t="s">
        <v>454</v>
      </c>
      <c r="D3" s="88" t="s">
        <v>452</v>
      </c>
    </row>
    <row r="4">
      <c r="A4" s="86" t="s">
        <v>142</v>
      </c>
      <c r="B4" s="6" t="s">
        <v>455</v>
      </c>
      <c r="C4" s="89" t="s">
        <v>456</v>
      </c>
      <c r="D4" s="84" t="s">
        <v>452</v>
      </c>
    </row>
    <row r="5">
      <c r="A5" s="86" t="s">
        <v>134</v>
      </c>
      <c r="B5" s="6" t="s">
        <v>457</v>
      </c>
      <c r="C5" s="89" t="s">
        <v>458</v>
      </c>
      <c r="D5" s="84" t="s">
        <v>452</v>
      </c>
    </row>
    <row r="6">
      <c r="A6" s="86" t="s">
        <v>158</v>
      </c>
      <c r="B6" s="6" t="s">
        <v>459</v>
      </c>
      <c r="C6" s="89" t="s">
        <v>460</v>
      </c>
      <c r="D6" s="84" t="s">
        <v>452</v>
      </c>
    </row>
    <row r="7">
      <c r="A7" s="86" t="s">
        <v>81</v>
      </c>
      <c r="B7" s="6" t="s">
        <v>461</v>
      </c>
      <c r="C7" s="89" t="s">
        <v>462</v>
      </c>
      <c r="D7" s="84" t="s">
        <v>452</v>
      </c>
    </row>
    <row r="8">
      <c r="C8" s="77"/>
    </row>
    <row r="9">
      <c r="C9" s="77"/>
    </row>
    <row r="10">
      <c r="C10" s="89"/>
    </row>
    <row r="11">
      <c r="C11" s="77"/>
    </row>
    <row r="12">
      <c r="C12" s="77"/>
    </row>
    <row r="13">
      <c r="C13" s="77"/>
    </row>
    <row r="14">
      <c r="C14" s="77"/>
    </row>
    <row r="15">
      <c r="C15" s="77"/>
    </row>
    <row r="16">
      <c r="C16" s="77"/>
    </row>
    <row r="17">
      <c r="C17" s="77"/>
    </row>
    <row r="18">
      <c r="C18" s="77"/>
    </row>
    <row r="19">
      <c r="C19" s="77"/>
    </row>
    <row r="20">
      <c r="C20" s="77"/>
    </row>
    <row r="21">
      <c r="C21" s="77"/>
    </row>
    <row r="22">
      <c r="C22" s="77"/>
    </row>
    <row r="23">
      <c r="C23" s="77"/>
    </row>
    <row r="24">
      <c r="C24" s="77"/>
    </row>
    <row r="25">
      <c r="C25" s="77"/>
    </row>
    <row r="26">
      <c r="C26" s="77"/>
    </row>
    <row r="27">
      <c r="C27" s="77"/>
    </row>
    <row r="28">
      <c r="C28" s="77"/>
    </row>
    <row r="29">
      <c r="C29" s="77"/>
    </row>
    <row r="30">
      <c r="C30" s="77"/>
    </row>
    <row r="31">
      <c r="C31" s="77"/>
    </row>
    <row r="32">
      <c r="C32" s="77"/>
    </row>
    <row r="33">
      <c r="C33" s="77"/>
    </row>
    <row r="34">
      <c r="C34" s="77"/>
    </row>
    <row r="35">
      <c r="C35" s="77"/>
    </row>
    <row r="36">
      <c r="C36" s="77"/>
    </row>
    <row r="37">
      <c r="C37" s="77"/>
    </row>
    <row r="38">
      <c r="C38" s="77"/>
    </row>
    <row r="39">
      <c r="C39" s="77"/>
    </row>
    <row r="40">
      <c r="C40" s="77"/>
    </row>
    <row r="41">
      <c r="C41" s="77"/>
    </row>
    <row r="42">
      <c r="C42" s="77"/>
    </row>
    <row r="43">
      <c r="C43" s="77"/>
    </row>
    <row r="44">
      <c r="C44" s="77"/>
    </row>
    <row r="45">
      <c r="C45" s="77"/>
    </row>
    <row r="46">
      <c r="C46" s="77"/>
    </row>
    <row r="47">
      <c r="C47" s="77"/>
    </row>
    <row r="48">
      <c r="C48" s="77"/>
    </row>
    <row r="49">
      <c r="C49" s="77"/>
    </row>
    <row r="50">
      <c r="C50" s="77"/>
    </row>
    <row r="51">
      <c r="C51" s="77"/>
    </row>
    <row r="52">
      <c r="C52" s="77"/>
    </row>
    <row r="53">
      <c r="C53" s="77"/>
    </row>
    <row r="54">
      <c r="C54" s="77"/>
    </row>
    <row r="55">
      <c r="C55" s="77"/>
    </row>
    <row r="56">
      <c r="C56" s="77"/>
    </row>
    <row r="57">
      <c r="C57" s="77"/>
    </row>
    <row r="58">
      <c r="C58" s="77"/>
    </row>
    <row r="59">
      <c r="C59" s="77"/>
    </row>
    <row r="60">
      <c r="C60" s="77"/>
    </row>
    <row r="61">
      <c r="C61" s="77"/>
    </row>
    <row r="62">
      <c r="C62" s="77"/>
    </row>
    <row r="63">
      <c r="C63" s="77"/>
    </row>
    <row r="64">
      <c r="C64" s="77"/>
    </row>
    <row r="65">
      <c r="C65" s="77"/>
    </row>
    <row r="66">
      <c r="C66" s="77"/>
    </row>
    <row r="67">
      <c r="C67" s="77"/>
    </row>
    <row r="68">
      <c r="C68" s="77"/>
    </row>
    <row r="69">
      <c r="C69" s="77"/>
    </row>
    <row r="70">
      <c r="C70" s="77"/>
    </row>
    <row r="71">
      <c r="C71" s="77"/>
    </row>
    <row r="72">
      <c r="C72" s="77"/>
    </row>
    <row r="73">
      <c r="C73" s="77"/>
    </row>
    <row r="74">
      <c r="C74" s="77"/>
    </row>
    <row r="75">
      <c r="C75" s="77"/>
    </row>
    <row r="76">
      <c r="C76" s="77"/>
    </row>
    <row r="77">
      <c r="C77" s="77"/>
    </row>
    <row r="78">
      <c r="C78" s="77"/>
    </row>
    <row r="79">
      <c r="C79" s="77"/>
    </row>
    <row r="80">
      <c r="C80" s="77"/>
    </row>
    <row r="81">
      <c r="C81" s="77"/>
    </row>
    <row r="82">
      <c r="C82" s="77"/>
    </row>
    <row r="83">
      <c r="C83" s="77"/>
    </row>
    <row r="84">
      <c r="C84" s="77"/>
    </row>
    <row r="85">
      <c r="C85" s="77"/>
    </row>
    <row r="86">
      <c r="C86" s="77"/>
    </row>
    <row r="87">
      <c r="C87" s="77"/>
    </row>
    <row r="88">
      <c r="C88" s="77"/>
    </row>
    <row r="89">
      <c r="C89" s="77"/>
    </row>
    <row r="90">
      <c r="C90" s="77"/>
    </row>
    <row r="91">
      <c r="C91" s="77"/>
    </row>
    <row r="92">
      <c r="C92" s="77"/>
    </row>
    <row r="93">
      <c r="C93" s="77"/>
    </row>
    <row r="94">
      <c r="C94" s="77"/>
    </row>
    <row r="95">
      <c r="C95" s="77"/>
    </row>
    <row r="96">
      <c r="C96" s="77"/>
    </row>
    <row r="97">
      <c r="C97" s="77"/>
    </row>
    <row r="98">
      <c r="C98" s="77"/>
    </row>
    <row r="99">
      <c r="C99" s="77"/>
    </row>
    <row r="100">
      <c r="C100" s="77"/>
    </row>
    <row r="101">
      <c r="C101" s="77"/>
    </row>
    <row r="102">
      <c r="C102" s="77"/>
    </row>
    <row r="103">
      <c r="C103" s="77"/>
    </row>
    <row r="104">
      <c r="C104" s="77"/>
    </row>
    <row r="105">
      <c r="C105" s="77"/>
    </row>
    <row r="106">
      <c r="C106" s="77"/>
    </row>
    <row r="107">
      <c r="C107" s="77"/>
    </row>
    <row r="108">
      <c r="C108" s="77"/>
    </row>
    <row r="109">
      <c r="C109" s="77"/>
    </row>
    <row r="110">
      <c r="C110" s="77"/>
    </row>
    <row r="111">
      <c r="C111" s="77"/>
    </row>
    <row r="112">
      <c r="C112" s="77"/>
    </row>
    <row r="113">
      <c r="C113" s="77"/>
    </row>
    <row r="114">
      <c r="C114" s="77"/>
    </row>
    <row r="115">
      <c r="C115" s="77"/>
    </row>
    <row r="116">
      <c r="C116" s="77"/>
    </row>
    <row r="117">
      <c r="C117" s="77"/>
    </row>
    <row r="118">
      <c r="C118" s="77"/>
    </row>
    <row r="119">
      <c r="C119" s="77"/>
    </row>
    <row r="120">
      <c r="C120" s="77"/>
    </row>
    <row r="121">
      <c r="C121" s="77"/>
    </row>
    <row r="122">
      <c r="C122" s="77"/>
    </row>
    <row r="123">
      <c r="C123" s="77"/>
    </row>
    <row r="124">
      <c r="C124" s="77"/>
    </row>
    <row r="125">
      <c r="C125" s="77"/>
    </row>
    <row r="126">
      <c r="C126" s="77"/>
    </row>
    <row r="127">
      <c r="C127" s="77"/>
    </row>
    <row r="128">
      <c r="C128" s="77"/>
    </row>
    <row r="129">
      <c r="C129" s="77"/>
    </row>
    <row r="130">
      <c r="C130" s="77"/>
    </row>
    <row r="131">
      <c r="C131" s="77"/>
    </row>
    <row r="132">
      <c r="C132" s="77"/>
    </row>
    <row r="133">
      <c r="C133" s="77"/>
    </row>
    <row r="134">
      <c r="C134" s="77"/>
    </row>
    <row r="135">
      <c r="C135" s="77"/>
    </row>
    <row r="136">
      <c r="C136" s="77"/>
    </row>
    <row r="137">
      <c r="C137" s="77"/>
    </row>
    <row r="138">
      <c r="C138" s="77"/>
    </row>
    <row r="139">
      <c r="C139" s="77"/>
    </row>
    <row r="140">
      <c r="C140" s="77"/>
    </row>
    <row r="141">
      <c r="C141" s="77"/>
    </row>
    <row r="142">
      <c r="C142" s="77"/>
    </row>
    <row r="143">
      <c r="C143" s="77"/>
    </row>
    <row r="144">
      <c r="C144" s="77"/>
    </row>
    <row r="145">
      <c r="C145" s="77"/>
    </row>
    <row r="146">
      <c r="C146" s="77"/>
    </row>
    <row r="147">
      <c r="C147" s="77"/>
    </row>
    <row r="148">
      <c r="C148" s="77"/>
    </row>
    <row r="149">
      <c r="C149" s="77"/>
    </row>
    <row r="150">
      <c r="C150" s="77"/>
    </row>
    <row r="151">
      <c r="C151" s="77"/>
    </row>
    <row r="152">
      <c r="C152" s="77"/>
    </row>
    <row r="153">
      <c r="C153" s="77"/>
    </row>
    <row r="154">
      <c r="C154" s="77"/>
    </row>
    <row r="155">
      <c r="C155" s="77"/>
    </row>
    <row r="156">
      <c r="C156" s="77"/>
    </row>
    <row r="157">
      <c r="C157" s="77"/>
    </row>
    <row r="158">
      <c r="C158" s="77"/>
    </row>
    <row r="159">
      <c r="C159" s="77"/>
    </row>
    <row r="160">
      <c r="C160" s="77"/>
    </row>
    <row r="161">
      <c r="C161" s="77"/>
    </row>
    <row r="162">
      <c r="C162" s="77"/>
    </row>
    <row r="163">
      <c r="C163" s="77"/>
    </row>
    <row r="164">
      <c r="C164" s="77"/>
    </row>
    <row r="165">
      <c r="C165" s="77"/>
    </row>
    <row r="166">
      <c r="C166" s="77"/>
    </row>
    <row r="167">
      <c r="C167" s="77"/>
    </row>
    <row r="168">
      <c r="C168" s="77"/>
    </row>
    <row r="169">
      <c r="C169" s="77"/>
    </row>
    <row r="170">
      <c r="C170" s="77"/>
    </row>
    <row r="171">
      <c r="C171" s="77"/>
    </row>
    <row r="172">
      <c r="C172" s="77"/>
    </row>
    <row r="173">
      <c r="C173" s="77"/>
    </row>
    <row r="174">
      <c r="C174" s="77"/>
    </row>
    <row r="175">
      <c r="C175" s="77"/>
    </row>
    <row r="176">
      <c r="C176" s="77"/>
    </row>
    <row r="177">
      <c r="C177" s="77"/>
    </row>
    <row r="178">
      <c r="C178" s="77"/>
    </row>
    <row r="179">
      <c r="C179" s="77"/>
    </row>
    <row r="180">
      <c r="C180" s="77"/>
    </row>
    <row r="181">
      <c r="C181" s="77"/>
    </row>
    <row r="182">
      <c r="C182" s="77"/>
    </row>
    <row r="183">
      <c r="C183" s="77"/>
    </row>
    <row r="184">
      <c r="C184" s="77"/>
    </row>
    <row r="185">
      <c r="C185" s="77"/>
    </row>
    <row r="186">
      <c r="C186" s="77"/>
    </row>
    <row r="187">
      <c r="C187" s="77"/>
    </row>
    <row r="188">
      <c r="C188" s="77"/>
    </row>
    <row r="189">
      <c r="C189" s="77"/>
    </row>
    <row r="190">
      <c r="C190" s="77"/>
    </row>
    <row r="191">
      <c r="C191" s="77"/>
    </row>
    <row r="192">
      <c r="C192" s="77"/>
    </row>
    <row r="193">
      <c r="C193" s="77"/>
    </row>
    <row r="194">
      <c r="C194" s="77"/>
    </row>
    <row r="195">
      <c r="C195" s="77"/>
    </row>
    <row r="196">
      <c r="C196" s="77"/>
    </row>
    <row r="197">
      <c r="C197" s="77"/>
    </row>
    <row r="198">
      <c r="C198" s="77"/>
    </row>
    <row r="199">
      <c r="C199" s="77"/>
    </row>
    <row r="200">
      <c r="C200" s="77"/>
    </row>
    <row r="201">
      <c r="C201" s="77"/>
    </row>
    <row r="202">
      <c r="C202" s="77"/>
    </row>
    <row r="203">
      <c r="C203" s="77"/>
    </row>
    <row r="204">
      <c r="C204" s="77"/>
    </row>
    <row r="205">
      <c r="C205" s="77"/>
    </row>
    <row r="206">
      <c r="C206" s="77"/>
    </row>
    <row r="207">
      <c r="C207" s="77"/>
    </row>
    <row r="208">
      <c r="C208" s="77"/>
    </row>
    <row r="209">
      <c r="C209" s="77"/>
    </row>
    <row r="210">
      <c r="C210" s="77"/>
    </row>
    <row r="211">
      <c r="C211" s="77"/>
    </row>
    <row r="212">
      <c r="C212" s="77"/>
    </row>
    <row r="213">
      <c r="C213" s="77"/>
    </row>
    <row r="214">
      <c r="C214" s="77"/>
    </row>
    <row r="215">
      <c r="C215" s="77"/>
    </row>
    <row r="216">
      <c r="C216" s="77"/>
    </row>
    <row r="217">
      <c r="C217" s="77"/>
    </row>
    <row r="218">
      <c r="C218" s="77"/>
    </row>
    <row r="219">
      <c r="C219" s="77"/>
    </row>
    <row r="220">
      <c r="C220" s="77"/>
    </row>
    <row r="221">
      <c r="C221" s="77"/>
    </row>
    <row r="222">
      <c r="C222" s="77"/>
    </row>
    <row r="223">
      <c r="C223" s="77"/>
    </row>
    <row r="224">
      <c r="C224" s="77"/>
    </row>
    <row r="225">
      <c r="C225" s="77"/>
    </row>
    <row r="226">
      <c r="C226" s="77"/>
    </row>
    <row r="227">
      <c r="C227" s="77"/>
    </row>
    <row r="228">
      <c r="C228" s="77"/>
    </row>
    <row r="229">
      <c r="C229" s="77"/>
    </row>
    <row r="230">
      <c r="C230" s="77"/>
    </row>
    <row r="231">
      <c r="C231" s="77"/>
    </row>
    <row r="232">
      <c r="C232" s="77"/>
    </row>
    <row r="233">
      <c r="C233" s="77"/>
    </row>
    <row r="234">
      <c r="C234" s="77"/>
    </row>
    <row r="235">
      <c r="C235" s="77"/>
    </row>
    <row r="236">
      <c r="C236" s="77"/>
    </row>
    <row r="237">
      <c r="C237" s="77"/>
    </row>
    <row r="238">
      <c r="C238" s="77"/>
    </row>
    <row r="239">
      <c r="C239" s="77"/>
    </row>
    <row r="240">
      <c r="C240" s="77"/>
    </row>
    <row r="241">
      <c r="C241" s="77"/>
    </row>
    <row r="242">
      <c r="C242" s="77"/>
    </row>
    <row r="243">
      <c r="C243" s="77"/>
    </row>
    <row r="244">
      <c r="C244" s="77"/>
    </row>
    <row r="245">
      <c r="C245" s="77"/>
    </row>
    <row r="246">
      <c r="C246" s="77"/>
    </row>
    <row r="247">
      <c r="C247" s="77"/>
    </row>
    <row r="248">
      <c r="C248" s="77"/>
    </row>
    <row r="249">
      <c r="C249" s="77"/>
    </row>
    <row r="250">
      <c r="C250" s="77"/>
    </row>
    <row r="251">
      <c r="C251" s="77"/>
    </row>
    <row r="252">
      <c r="C252" s="77"/>
    </row>
    <row r="253">
      <c r="C253" s="77"/>
    </row>
    <row r="254">
      <c r="C254" s="77"/>
    </row>
    <row r="255">
      <c r="C255" s="77"/>
    </row>
    <row r="256">
      <c r="C256" s="77"/>
    </row>
    <row r="257">
      <c r="C257" s="77"/>
    </row>
    <row r="258">
      <c r="C258" s="77"/>
    </row>
    <row r="259">
      <c r="C259" s="77"/>
    </row>
    <row r="260">
      <c r="C260" s="77"/>
    </row>
    <row r="261">
      <c r="C261" s="77"/>
    </row>
    <row r="262">
      <c r="C262" s="77"/>
    </row>
    <row r="263">
      <c r="C263" s="77"/>
    </row>
    <row r="264">
      <c r="C264" s="77"/>
    </row>
    <row r="265">
      <c r="C265" s="77"/>
    </row>
    <row r="266">
      <c r="C266" s="77"/>
    </row>
    <row r="267">
      <c r="C267" s="77"/>
    </row>
    <row r="268">
      <c r="C268" s="77"/>
    </row>
    <row r="269">
      <c r="C269" s="77"/>
    </row>
    <row r="270">
      <c r="C270" s="77"/>
    </row>
    <row r="271">
      <c r="C271" s="77"/>
    </row>
    <row r="272">
      <c r="C272" s="77"/>
    </row>
    <row r="273">
      <c r="C273" s="77"/>
    </row>
    <row r="274">
      <c r="C274" s="77"/>
    </row>
    <row r="275">
      <c r="C275" s="77"/>
    </row>
    <row r="276">
      <c r="C276" s="77"/>
    </row>
    <row r="277">
      <c r="C277" s="77"/>
    </row>
    <row r="278">
      <c r="C278" s="77"/>
    </row>
    <row r="279">
      <c r="C279" s="77"/>
    </row>
    <row r="280">
      <c r="C280" s="77"/>
    </row>
    <row r="281">
      <c r="C281" s="77"/>
    </row>
    <row r="282">
      <c r="C282" s="77"/>
    </row>
    <row r="283">
      <c r="C283" s="77"/>
    </row>
    <row r="284">
      <c r="C284" s="77"/>
    </row>
    <row r="285">
      <c r="C285" s="77"/>
    </row>
    <row r="286">
      <c r="C286" s="77"/>
    </row>
    <row r="287">
      <c r="C287" s="77"/>
    </row>
    <row r="288">
      <c r="C288" s="77"/>
    </row>
    <row r="289">
      <c r="C289" s="77"/>
    </row>
    <row r="290">
      <c r="C290" s="77"/>
    </row>
    <row r="291">
      <c r="C291" s="77"/>
    </row>
    <row r="292">
      <c r="C292" s="77"/>
    </row>
    <row r="293">
      <c r="C293" s="77"/>
    </row>
    <row r="294">
      <c r="C294" s="77"/>
    </row>
    <row r="295">
      <c r="C295" s="77"/>
    </row>
    <row r="296">
      <c r="C296" s="77"/>
    </row>
    <row r="297">
      <c r="C297" s="77"/>
    </row>
    <row r="298">
      <c r="C298" s="77"/>
    </row>
    <row r="299">
      <c r="C299" s="77"/>
    </row>
    <row r="300">
      <c r="C300" s="77"/>
    </row>
    <row r="301">
      <c r="C301" s="77"/>
    </row>
    <row r="302">
      <c r="C302" s="77"/>
    </row>
    <row r="303">
      <c r="C303" s="77"/>
    </row>
    <row r="304">
      <c r="C304" s="77"/>
    </row>
    <row r="305">
      <c r="C305" s="77"/>
    </row>
    <row r="306">
      <c r="C306" s="77"/>
    </row>
    <row r="307">
      <c r="C307" s="77"/>
    </row>
    <row r="308">
      <c r="C308" s="77"/>
    </row>
    <row r="309">
      <c r="C309" s="77"/>
    </row>
    <row r="310">
      <c r="C310" s="77"/>
    </row>
    <row r="311">
      <c r="C311" s="77"/>
    </row>
    <row r="312">
      <c r="C312" s="77"/>
    </row>
    <row r="313">
      <c r="C313" s="77"/>
    </row>
    <row r="314">
      <c r="C314" s="77"/>
    </row>
    <row r="315">
      <c r="C315" s="77"/>
    </row>
    <row r="316">
      <c r="C316" s="77"/>
    </row>
    <row r="317">
      <c r="C317" s="77"/>
    </row>
    <row r="318">
      <c r="C318" s="77"/>
    </row>
    <row r="319">
      <c r="C319" s="77"/>
    </row>
    <row r="320">
      <c r="C320" s="77"/>
    </row>
    <row r="321">
      <c r="C321" s="77"/>
    </row>
    <row r="322">
      <c r="C322" s="77"/>
    </row>
    <row r="323">
      <c r="C323" s="77"/>
    </row>
    <row r="324">
      <c r="C324" s="77"/>
    </row>
    <row r="325">
      <c r="C325" s="77"/>
    </row>
    <row r="326">
      <c r="C326" s="77"/>
    </row>
    <row r="327">
      <c r="C327" s="77"/>
    </row>
    <row r="328">
      <c r="C328" s="77"/>
    </row>
    <row r="329">
      <c r="C329" s="77"/>
    </row>
    <row r="330">
      <c r="C330" s="77"/>
    </row>
    <row r="331">
      <c r="C331" s="77"/>
    </row>
    <row r="332">
      <c r="C332" s="77"/>
    </row>
    <row r="333">
      <c r="C333" s="77"/>
    </row>
    <row r="334">
      <c r="C334" s="77"/>
    </row>
    <row r="335">
      <c r="C335" s="77"/>
    </row>
    <row r="336">
      <c r="C336" s="77"/>
    </row>
    <row r="337">
      <c r="C337" s="77"/>
    </row>
    <row r="338">
      <c r="C338" s="77"/>
    </row>
    <row r="339">
      <c r="C339" s="77"/>
    </row>
    <row r="340">
      <c r="C340" s="77"/>
    </row>
    <row r="341">
      <c r="C341" s="77"/>
    </row>
    <row r="342">
      <c r="C342" s="77"/>
    </row>
    <row r="343">
      <c r="C343" s="77"/>
    </row>
    <row r="344">
      <c r="C344" s="77"/>
    </row>
    <row r="345">
      <c r="C345" s="77"/>
    </row>
    <row r="346">
      <c r="C346" s="77"/>
    </row>
    <row r="347">
      <c r="C347" s="77"/>
    </row>
    <row r="348">
      <c r="C348" s="77"/>
    </row>
    <row r="349">
      <c r="C349" s="77"/>
    </row>
    <row r="350">
      <c r="C350" s="77"/>
    </row>
    <row r="351">
      <c r="C351" s="77"/>
    </row>
    <row r="352">
      <c r="C352" s="77"/>
    </row>
    <row r="353">
      <c r="C353" s="77"/>
    </row>
    <row r="354">
      <c r="C354" s="77"/>
    </row>
    <row r="355">
      <c r="C355" s="77"/>
    </row>
    <row r="356">
      <c r="C356" s="77"/>
    </row>
    <row r="357">
      <c r="C357" s="77"/>
    </row>
    <row r="358">
      <c r="C358" s="77"/>
    </row>
    <row r="359">
      <c r="C359" s="77"/>
    </row>
    <row r="360">
      <c r="C360" s="77"/>
    </row>
    <row r="361">
      <c r="C361" s="77"/>
    </row>
    <row r="362">
      <c r="C362" s="77"/>
    </row>
    <row r="363">
      <c r="C363" s="77"/>
    </row>
    <row r="364">
      <c r="C364" s="77"/>
    </row>
    <row r="365">
      <c r="C365" s="77"/>
    </row>
    <row r="366">
      <c r="C366" s="77"/>
    </row>
    <row r="367">
      <c r="C367" s="77"/>
    </row>
    <row r="368">
      <c r="C368" s="77"/>
    </row>
    <row r="369">
      <c r="C369" s="77"/>
    </row>
    <row r="370">
      <c r="C370" s="77"/>
    </row>
    <row r="371">
      <c r="C371" s="77"/>
    </row>
    <row r="372">
      <c r="C372" s="77"/>
    </row>
    <row r="373">
      <c r="C373" s="77"/>
    </row>
    <row r="374">
      <c r="C374" s="77"/>
    </row>
    <row r="375">
      <c r="C375" s="77"/>
    </row>
    <row r="376">
      <c r="C376" s="77"/>
    </row>
    <row r="377">
      <c r="C377" s="77"/>
    </row>
    <row r="378">
      <c r="C378" s="77"/>
    </row>
    <row r="379">
      <c r="C379" s="77"/>
    </row>
    <row r="380">
      <c r="C380" s="77"/>
    </row>
    <row r="381">
      <c r="C381" s="77"/>
    </row>
    <row r="382">
      <c r="C382" s="77"/>
    </row>
    <row r="383">
      <c r="C383" s="77"/>
    </row>
    <row r="384">
      <c r="C384" s="77"/>
    </row>
    <row r="385">
      <c r="C385" s="77"/>
    </row>
    <row r="386">
      <c r="C386" s="77"/>
    </row>
    <row r="387">
      <c r="C387" s="77"/>
    </row>
    <row r="388">
      <c r="C388" s="77"/>
    </row>
    <row r="389">
      <c r="C389" s="77"/>
    </row>
    <row r="390">
      <c r="C390" s="77"/>
    </row>
    <row r="391">
      <c r="C391" s="77"/>
    </row>
    <row r="392">
      <c r="C392" s="77"/>
    </row>
    <row r="393">
      <c r="C393" s="77"/>
    </row>
    <row r="394">
      <c r="C394" s="77"/>
    </row>
    <row r="395">
      <c r="C395" s="77"/>
    </row>
    <row r="396">
      <c r="C396" s="77"/>
    </row>
    <row r="397">
      <c r="C397" s="77"/>
    </row>
    <row r="398">
      <c r="C398" s="77"/>
    </row>
    <row r="399">
      <c r="C399" s="77"/>
    </row>
    <row r="400">
      <c r="C400" s="77"/>
    </row>
    <row r="401">
      <c r="C401" s="77"/>
    </row>
    <row r="402">
      <c r="C402" s="77"/>
    </row>
    <row r="403">
      <c r="C403" s="77"/>
    </row>
    <row r="404">
      <c r="C404" s="77"/>
    </row>
    <row r="405">
      <c r="C405" s="77"/>
    </row>
    <row r="406">
      <c r="C406" s="77"/>
    </row>
    <row r="407">
      <c r="C407" s="77"/>
    </row>
    <row r="408">
      <c r="C408" s="77"/>
    </row>
    <row r="409">
      <c r="C409" s="77"/>
    </row>
    <row r="410">
      <c r="C410" s="77"/>
    </row>
    <row r="411">
      <c r="C411" s="77"/>
    </row>
    <row r="412">
      <c r="C412" s="77"/>
    </row>
    <row r="413">
      <c r="C413" s="77"/>
    </row>
    <row r="414">
      <c r="C414" s="77"/>
    </row>
    <row r="415">
      <c r="C415" s="77"/>
    </row>
    <row r="416">
      <c r="C416" s="77"/>
    </row>
    <row r="417">
      <c r="C417" s="77"/>
    </row>
    <row r="418">
      <c r="C418" s="77"/>
    </row>
    <row r="419">
      <c r="C419" s="77"/>
    </row>
    <row r="420">
      <c r="C420" s="77"/>
    </row>
    <row r="421">
      <c r="C421" s="77"/>
    </row>
    <row r="422">
      <c r="C422" s="77"/>
    </row>
    <row r="423">
      <c r="C423" s="77"/>
    </row>
    <row r="424">
      <c r="C424" s="77"/>
    </row>
    <row r="425">
      <c r="C425" s="77"/>
    </row>
    <row r="426">
      <c r="C426" s="77"/>
    </row>
    <row r="427">
      <c r="C427" s="77"/>
    </row>
    <row r="428">
      <c r="C428" s="77"/>
    </row>
    <row r="429">
      <c r="C429" s="77"/>
    </row>
    <row r="430">
      <c r="C430" s="77"/>
    </row>
    <row r="431">
      <c r="C431" s="77"/>
    </row>
    <row r="432">
      <c r="C432" s="77"/>
    </row>
    <row r="433">
      <c r="C433" s="77"/>
    </row>
    <row r="434">
      <c r="C434" s="77"/>
    </row>
    <row r="435">
      <c r="C435" s="77"/>
    </row>
    <row r="436">
      <c r="C436" s="77"/>
    </row>
    <row r="437">
      <c r="C437" s="77"/>
    </row>
    <row r="438">
      <c r="C438" s="77"/>
    </row>
    <row r="439">
      <c r="C439" s="77"/>
    </row>
    <row r="440">
      <c r="C440" s="77"/>
    </row>
    <row r="441">
      <c r="C441" s="77"/>
    </row>
    <row r="442">
      <c r="C442" s="77"/>
    </row>
    <row r="443">
      <c r="C443" s="77"/>
    </row>
    <row r="444">
      <c r="C444" s="77"/>
    </row>
    <row r="445">
      <c r="C445" s="77"/>
    </row>
    <row r="446">
      <c r="C446" s="77"/>
    </row>
    <row r="447">
      <c r="C447" s="77"/>
    </row>
    <row r="448">
      <c r="C448" s="77"/>
    </row>
    <row r="449">
      <c r="C449" s="77"/>
    </row>
    <row r="450">
      <c r="C450" s="77"/>
    </row>
    <row r="451">
      <c r="C451" s="77"/>
    </row>
    <row r="452">
      <c r="C452" s="77"/>
    </row>
    <row r="453">
      <c r="C453" s="77"/>
    </row>
    <row r="454">
      <c r="C454" s="77"/>
    </row>
    <row r="455">
      <c r="C455" s="77"/>
    </row>
    <row r="456">
      <c r="C456" s="77"/>
    </row>
    <row r="457">
      <c r="C457" s="77"/>
    </row>
    <row r="458">
      <c r="C458" s="77"/>
    </row>
    <row r="459">
      <c r="C459" s="77"/>
    </row>
    <row r="460">
      <c r="C460" s="77"/>
    </row>
    <row r="461">
      <c r="C461" s="77"/>
    </row>
    <row r="462">
      <c r="C462" s="77"/>
    </row>
    <row r="463">
      <c r="C463" s="77"/>
    </row>
    <row r="464">
      <c r="C464" s="77"/>
    </row>
    <row r="465">
      <c r="C465" s="77"/>
    </row>
    <row r="466">
      <c r="C466" s="77"/>
    </row>
    <row r="467">
      <c r="C467" s="77"/>
    </row>
    <row r="468">
      <c r="C468" s="77"/>
    </row>
    <row r="469">
      <c r="C469" s="77"/>
    </row>
    <row r="470">
      <c r="C470" s="77"/>
    </row>
    <row r="471">
      <c r="C471" s="77"/>
    </row>
    <row r="472">
      <c r="C472" s="77"/>
    </row>
    <row r="473">
      <c r="C473" s="77"/>
    </row>
    <row r="474">
      <c r="C474" s="77"/>
    </row>
    <row r="475">
      <c r="C475" s="77"/>
    </row>
    <row r="476">
      <c r="C476" s="77"/>
    </row>
    <row r="477">
      <c r="C477" s="77"/>
    </row>
    <row r="478">
      <c r="C478" s="77"/>
    </row>
    <row r="479">
      <c r="C479" s="77"/>
    </row>
    <row r="480">
      <c r="C480" s="77"/>
    </row>
    <row r="481">
      <c r="C481" s="77"/>
    </row>
    <row r="482">
      <c r="C482" s="77"/>
    </row>
    <row r="483">
      <c r="C483" s="77"/>
    </row>
    <row r="484">
      <c r="C484" s="77"/>
    </row>
    <row r="485">
      <c r="C485" s="77"/>
    </row>
    <row r="486">
      <c r="C486" s="77"/>
    </row>
    <row r="487">
      <c r="C487" s="77"/>
    </row>
    <row r="488">
      <c r="C488" s="77"/>
    </row>
    <row r="489">
      <c r="C489" s="77"/>
    </row>
    <row r="490">
      <c r="C490" s="77"/>
    </row>
    <row r="491">
      <c r="C491" s="77"/>
    </row>
    <row r="492">
      <c r="C492" s="77"/>
    </row>
    <row r="493">
      <c r="C493" s="77"/>
    </row>
    <row r="494">
      <c r="C494" s="77"/>
    </row>
    <row r="495">
      <c r="C495" s="77"/>
    </row>
    <row r="496">
      <c r="C496" s="77"/>
    </row>
    <row r="497">
      <c r="C497" s="77"/>
    </row>
    <row r="498">
      <c r="C498" s="77"/>
    </row>
    <row r="499">
      <c r="C499" s="77"/>
    </row>
    <row r="500">
      <c r="C500" s="77"/>
    </row>
    <row r="501">
      <c r="C501" s="77"/>
    </row>
    <row r="502">
      <c r="C502" s="77"/>
    </row>
    <row r="503">
      <c r="C503" s="77"/>
    </row>
    <row r="504">
      <c r="C504" s="77"/>
    </row>
    <row r="505">
      <c r="C505" s="77"/>
    </row>
    <row r="506">
      <c r="C506" s="77"/>
    </row>
    <row r="507">
      <c r="C507" s="77"/>
    </row>
    <row r="508">
      <c r="C508" s="77"/>
    </row>
    <row r="509">
      <c r="C509" s="77"/>
    </row>
    <row r="510">
      <c r="C510" s="77"/>
    </row>
    <row r="511">
      <c r="C511" s="77"/>
    </row>
    <row r="512">
      <c r="C512" s="77"/>
    </row>
    <row r="513">
      <c r="C513" s="77"/>
    </row>
    <row r="514">
      <c r="C514" s="77"/>
    </row>
    <row r="515">
      <c r="C515" s="77"/>
    </row>
    <row r="516">
      <c r="C516" s="77"/>
    </row>
    <row r="517">
      <c r="C517" s="77"/>
    </row>
    <row r="518">
      <c r="C518" s="77"/>
    </row>
    <row r="519">
      <c r="C519" s="77"/>
    </row>
    <row r="520">
      <c r="C520" s="77"/>
    </row>
    <row r="521">
      <c r="C521" s="77"/>
    </row>
    <row r="522">
      <c r="C522" s="77"/>
    </row>
    <row r="523">
      <c r="C523" s="77"/>
    </row>
    <row r="524">
      <c r="C524" s="77"/>
    </row>
    <row r="525">
      <c r="C525" s="77"/>
    </row>
    <row r="526">
      <c r="C526" s="77"/>
    </row>
    <row r="527">
      <c r="C527" s="77"/>
    </row>
    <row r="528">
      <c r="C528" s="77"/>
    </row>
    <row r="529">
      <c r="C529" s="77"/>
    </row>
    <row r="530">
      <c r="C530" s="77"/>
    </row>
    <row r="531">
      <c r="C531" s="77"/>
    </row>
    <row r="532">
      <c r="C532" s="77"/>
    </row>
    <row r="533">
      <c r="C533" s="77"/>
    </row>
    <row r="534">
      <c r="C534" s="77"/>
    </row>
    <row r="535">
      <c r="C535" s="77"/>
    </row>
    <row r="536">
      <c r="C536" s="77"/>
    </row>
    <row r="537">
      <c r="C537" s="77"/>
    </row>
    <row r="538">
      <c r="C538" s="77"/>
    </row>
    <row r="539">
      <c r="C539" s="77"/>
    </row>
    <row r="540">
      <c r="C540" s="77"/>
    </row>
    <row r="541">
      <c r="C541" s="77"/>
    </row>
    <row r="542">
      <c r="C542" s="77"/>
    </row>
    <row r="543">
      <c r="C543" s="77"/>
    </row>
    <row r="544">
      <c r="C544" s="77"/>
    </row>
    <row r="545">
      <c r="C545" s="77"/>
    </row>
    <row r="546">
      <c r="C546" s="77"/>
    </row>
    <row r="547">
      <c r="C547" s="77"/>
    </row>
    <row r="548">
      <c r="C548" s="77"/>
    </row>
    <row r="549">
      <c r="C549" s="77"/>
    </row>
    <row r="550">
      <c r="C550" s="77"/>
    </row>
    <row r="551">
      <c r="C551" s="77"/>
    </row>
    <row r="552">
      <c r="C552" s="77"/>
    </row>
    <row r="553">
      <c r="C553" s="77"/>
    </row>
    <row r="554">
      <c r="C554" s="77"/>
    </row>
    <row r="555">
      <c r="C555" s="77"/>
    </row>
    <row r="556">
      <c r="C556" s="77"/>
    </row>
    <row r="557">
      <c r="C557" s="77"/>
    </row>
    <row r="558">
      <c r="C558" s="77"/>
    </row>
    <row r="559">
      <c r="C559" s="77"/>
    </row>
    <row r="560">
      <c r="C560" s="77"/>
    </row>
    <row r="561">
      <c r="C561" s="77"/>
    </row>
    <row r="562">
      <c r="C562" s="77"/>
    </row>
    <row r="563">
      <c r="C563" s="77"/>
    </row>
    <row r="564">
      <c r="C564" s="77"/>
    </row>
    <row r="565">
      <c r="C565" s="77"/>
    </row>
    <row r="566">
      <c r="C566" s="77"/>
    </row>
    <row r="567">
      <c r="C567" s="77"/>
    </row>
    <row r="568">
      <c r="C568" s="77"/>
    </row>
    <row r="569">
      <c r="C569" s="77"/>
    </row>
    <row r="570">
      <c r="C570" s="77"/>
    </row>
    <row r="571">
      <c r="C571" s="77"/>
    </row>
    <row r="572">
      <c r="C572" s="77"/>
    </row>
    <row r="573">
      <c r="C573" s="77"/>
    </row>
    <row r="574">
      <c r="C574" s="77"/>
    </row>
    <row r="575">
      <c r="C575" s="77"/>
    </row>
    <row r="576">
      <c r="C576" s="77"/>
    </row>
    <row r="577">
      <c r="C577" s="77"/>
    </row>
    <row r="578">
      <c r="C578" s="77"/>
    </row>
    <row r="579">
      <c r="C579" s="77"/>
    </row>
    <row r="580">
      <c r="C580" s="77"/>
    </row>
    <row r="581">
      <c r="C581" s="77"/>
    </row>
    <row r="582">
      <c r="C582" s="77"/>
    </row>
    <row r="583">
      <c r="C583" s="77"/>
    </row>
    <row r="584">
      <c r="C584" s="77"/>
    </row>
    <row r="585">
      <c r="C585" s="77"/>
    </row>
    <row r="586">
      <c r="C586" s="77"/>
    </row>
    <row r="587">
      <c r="C587" s="77"/>
    </row>
    <row r="588">
      <c r="C588" s="77"/>
    </row>
    <row r="589">
      <c r="C589" s="77"/>
    </row>
    <row r="590">
      <c r="C590" s="77"/>
    </row>
    <row r="591">
      <c r="C591" s="77"/>
    </row>
    <row r="592">
      <c r="C592" s="77"/>
    </row>
    <row r="593">
      <c r="C593" s="77"/>
    </row>
    <row r="594">
      <c r="C594" s="77"/>
    </row>
    <row r="595">
      <c r="C595" s="77"/>
    </row>
    <row r="596">
      <c r="C596" s="77"/>
    </row>
    <row r="597">
      <c r="C597" s="77"/>
    </row>
    <row r="598">
      <c r="C598" s="77"/>
    </row>
    <row r="599">
      <c r="C599" s="77"/>
    </row>
    <row r="600">
      <c r="C600" s="77"/>
    </row>
    <row r="601">
      <c r="C601" s="77"/>
    </row>
    <row r="602">
      <c r="C602" s="77"/>
    </row>
    <row r="603">
      <c r="C603" s="77"/>
    </row>
    <row r="604">
      <c r="C604" s="77"/>
    </row>
    <row r="605">
      <c r="C605" s="77"/>
    </row>
    <row r="606">
      <c r="C606" s="77"/>
    </row>
    <row r="607">
      <c r="C607" s="77"/>
    </row>
    <row r="608">
      <c r="C608" s="77"/>
    </row>
    <row r="609">
      <c r="C609" s="77"/>
    </row>
    <row r="610">
      <c r="C610" s="77"/>
    </row>
    <row r="611">
      <c r="C611" s="77"/>
    </row>
    <row r="612">
      <c r="C612" s="77"/>
    </row>
    <row r="613">
      <c r="C613" s="77"/>
    </row>
    <row r="614">
      <c r="C614" s="77"/>
    </row>
    <row r="615">
      <c r="C615" s="77"/>
    </row>
    <row r="616">
      <c r="C616" s="77"/>
    </row>
    <row r="617">
      <c r="C617" s="77"/>
    </row>
    <row r="618">
      <c r="C618" s="77"/>
    </row>
    <row r="619">
      <c r="C619" s="77"/>
    </row>
    <row r="620">
      <c r="C620" s="77"/>
    </row>
    <row r="621">
      <c r="C621" s="77"/>
    </row>
    <row r="622">
      <c r="C622" s="77"/>
    </row>
    <row r="623">
      <c r="C623" s="77"/>
    </row>
    <row r="624">
      <c r="C624" s="77"/>
    </row>
    <row r="625">
      <c r="C625" s="77"/>
    </row>
    <row r="626">
      <c r="C626" s="77"/>
    </row>
    <row r="627">
      <c r="C627" s="77"/>
    </row>
    <row r="628">
      <c r="C628" s="77"/>
    </row>
    <row r="629">
      <c r="C629" s="77"/>
    </row>
    <row r="630">
      <c r="C630" s="77"/>
    </row>
    <row r="631">
      <c r="C631" s="77"/>
    </row>
    <row r="632">
      <c r="C632" s="77"/>
    </row>
    <row r="633">
      <c r="C633" s="77"/>
    </row>
    <row r="634">
      <c r="C634" s="77"/>
    </row>
    <row r="635">
      <c r="C635" s="77"/>
    </row>
    <row r="636">
      <c r="C636" s="77"/>
    </row>
    <row r="637">
      <c r="C637" s="77"/>
    </row>
    <row r="638">
      <c r="C638" s="77"/>
    </row>
    <row r="639">
      <c r="C639" s="77"/>
    </row>
    <row r="640">
      <c r="C640" s="77"/>
    </row>
    <row r="641">
      <c r="C641" s="77"/>
    </row>
    <row r="642">
      <c r="C642" s="77"/>
    </row>
    <row r="643">
      <c r="C643" s="77"/>
    </row>
    <row r="644">
      <c r="C644" s="77"/>
    </row>
    <row r="645">
      <c r="C645" s="77"/>
    </row>
    <row r="646">
      <c r="C646" s="77"/>
    </row>
    <row r="647">
      <c r="C647" s="77"/>
    </row>
    <row r="648">
      <c r="C648" s="77"/>
    </row>
    <row r="649">
      <c r="C649" s="77"/>
    </row>
    <row r="650">
      <c r="C650" s="77"/>
    </row>
    <row r="651">
      <c r="C651" s="77"/>
    </row>
    <row r="652">
      <c r="C652" s="77"/>
    </row>
    <row r="653">
      <c r="C653" s="77"/>
    </row>
    <row r="654">
      <c r="C654" s="77"/>
    </row>
    <row r="655">
      <c r="C655" s="77"/>
    </row>
    <row r="656">
      <c r="C656" s="77"/>
    </row>
    <row r="657">
      <c r="C657" s="77"/>
    </row>
    <row r="658">
      <c r="C658" s="77"/>
    </row>
    <row r="659">
      <c r="C659" s="77"/>
    </row>
    <row r="660">
      <c r="C660" s="77"/>
    </row>
    <row r="661">
      <c r="C661" s="77"/>
    </row>
    <row r="662">
      <c r="C662" s="77"/>
    </row>
    <row r="663">
      <c r="C663" s="77"/>
    </row>
    <row r="664">
      <c r="C664" s="77"/>
    </row>
    <row r="665">
      <c r="C665" s="77"/>
    </row>
    <row r="666">
      <c r="C666" s="77"/>
    </row>
    <row r="667">
      <c r="C667" s="77"/>
    </row>
    <row r="668">
      <c r="C668" s="77"/>
    </row>
    <row r="669">
      <c r="C669" s="77"/>
    </row>
    <row r="670">
      <c r="C670" s="77"/>
    </row>
    <row r="671">
      <c r="C671" s="77"/>
    </row>
    <row r="672">
      <c r="C672" s="77"/>
    </row>
    <row r="673">
      <c r="C673" s="77"/>
    </row>
    <row r="674">
      <c r="C674" s="77"/>
    </row>
    <row r="675">
      <c r="C675" s="77"/>
    </row>
    <row r="676">
      <c r="C676" s="77"/>
    </row>
    <row r="677">
      <c r="C677" s="77"/>
    </row>
    <row r="678">
      <c r="C678" s="77"/>
    </row>
    <row r="679">
      <c r="C679" s="77"/>
    </row>
    <row r="680">
      <c r="C680" s="77"/>
    </row>
    <row r="681">
      <c r="C681" s="77"/>
    </row>
    <row r="682">
      <c r="C682" s="77"/>
    </row>
    <row r="683">
      <c r="C683" s="77"/>
    </row>
    <row r="684">
      <c r="C684" s="77"/>
    </row>
    <row r="685">
      <c r="C685" s="77"/>
    </row>
    <row r="686">
      <c r="C686" s="77"/>
    </row>
    <row r="687">
      <c r="C687" s="77"/>
    </row>
    <row r="688">
      <c r="C688" s="77"/>
    </row>
    <row r="689">
      <c r="C689" s="77"/>
    </row>
    <row r="690">
      <c r="C690" s="77"/>
    </row>
    <row r="691">
      <c r="C691" s="77"/>
    </row>
    <row r="692">
      <c r="C692" s="77"/>
    </row>
    <row r="693">
      <c r="C693" s="77"/>
    </row>
    <row r="694">
      <c r="C694" s="77"/>
    </row>
    <row r="695">
      <c r="C695" s="77"/>
    </row>
    <row r="696">
      <c r="C696" s="77"/>
    </row>
    <row r="697">
      <c r="C697" s="77"/>
    </row>
    <row r="698">
      <c r="C698" s="77"/>
    </row>
    <row r="699">
      <c r="C699" s="77"/>
    </row>
    <row r="700">
      <c r="C700" s="77"/>
    </row>
    <row r="701">
      <c r="C701" s="77"/>
    </row>
    <row r="702">
      <c r="C702" s="77"/>
    </row>
    <row r="703">
      <c r="C703" s="77"/>
    </row>
    <row r="704">
      <c r="C704" s="77"/>
    </row>
    <row r="705">
      <c r="C705" s="77"/>
    </row>
    <row r="706">
      <c r="C706" s="77"/>
    </row>
    <row r="707">
      <c r="C707" s="77"/>
    </row>
    <row r="708">
      <c r="C708" s="77"/>
    </row>
    <row r="709">
      <c r="C709" s="77"/>
    </row>
    <row r="710">
      <c r="C710" s="77"/>
    </row>
    <row r="711">
      <c r="C711" s="77"/>
    </row>
    <row r="712">
      <c r="C712" s="77"/>
    </row>
    <row r="713">
      <c r="C713" s="77"/>
    </row>
    <row r="714">
      <c r="C714" s="77"/>
    </row>
    <row r="715">
      <c r="C715" s="77"/>
    </row>
    <row r="716">
      <c r="C716" s="77"/>
    </row>
    <row r="717">
      <c r="C717" s="77"/>
    </row>
    <row r="718">
      <c r="C718" s="77"/>
    </row>
    <row r="719">
      <c r="C719" s="77"/>
    </row>
    <row r="720">
      <c r="C720" s="77"/>
    </row>
    <row r="721">
      <c r="C721" s="77"/>
    </row>
    <row r="722">
      <c r="C722" s="77"/>
    </row>
    <row r="723">
      <c r="C723" s="77"/>
    </row>
    <row r="724">
      <c r="C724" s="77"/>
    </row>
    <row r="725">
      <c r="C725" s="77"/>
    </row>
    <row r="726">
      <c r="C726" s="77"/>
    </row>
    <row r="727">
      <c r="C727" s="77"/>
    </row>
    <row r="728">
      <c r="C728" s="77"/>
    </row>
    <row r="729">
      <c r="C729" s="77"/>
    </row>
    <row r="730">
      <c r="C730" s="77"/>
    </row>
    <row r="731">
      <c r="C731" s="77"/>
    </row>
    <row r="732">
      <c r="C732" s="77"/>
    </row>
    <row r="733">
      <c r="C733" s="77"/>
    </row>
    <row r="734">
      <c r="C734" s="77"/>
    </row>
    <row r="735">
      <c r="C735" s="77"/>
    </row>
    <row r="736">
      <c r="C736" s="77"/>
    </row>
    <row r="737">
      <c r="C737" s="77"/>
    </row>
    <row r="738">
      <c r="C738" s="77"/>
    </row>
    <row r="739">
      <c r="C739" s="77"/>
    </row>
    <row r="740">
      <c r="C740" s="77"/>
    </row>
    <row r="741">
      <c r="C741" s="77"/>
    </row>
    <row r="742">
      <c r="C742" s="77"/>
    </row>
    <row r="743">
      <c r="C743" s="77"/>
    </row>
    <row r="744">
      <c r="C744" s="77"/>
    </row>
    <row r="745">
      <c r="C745" s="77"/>
    </row>
    <row r="746">
      <c r="C746" s="77"/>
    </row>
    <row r="747">
      <c r="C747" s="77"/>
    </row>
    <row r="748">
      <c r="C748" s="77"/>
    </row>
    <row r="749">
      <c r="C749" s="77"/>
    </row>
    <row r="750">
      <c r="C750" s="77"/>
    </row>
    <row r="751">
      <c r="C751" s="77"/>
    </row>
    <row r="752">
      <c r="C752" s="77"/>
    </row>
    <row r="753">
      <c r="C753" s="77"/>
    </row>
    <row r="754">
      <c r="C754" s="77"/>
    </row>
    <row r="755">
      <c r="C755" s="77"/>
    </row>
    <row r="756">
      <c r="C756" s="77"/>
    </row>
    <row r="757">
      <c r="C757" s="77"/>
    </row>
    <row r="758">
      <c r="C758" s="77"/>
    </row>
    <row r="759">
      <c r="C759" s="77"/>
    </row>
    <row r="760">
      <c r="C760" s="77"/>
    </row>
    <row r="761">
      <c r="C761" s="77"/>
    </row>
    <row r="762">
      <c r="C762" s="77"/>
    </row>
    <row r="763">
      <c r="C763" s="77"/>
    </row>
    <row r="764">
      <c r="C764" s="77"/>
    </row>
    <row r="765">
      <c r="C765" s="77"/>
    </row>
    <row r="766">
      <c r="C766" s="77"/>
    </row>
    <row r="767">
      <c r="C767" s="77"/>
    </row>
    <row r="768">
      <c r="C768" s="77"/>
    </row>
    <row r="769">
      <c r="C769" s="77"/>
    </row>
    <row r="770">
      <c r="C770" s="77"/>
    </row>
    <row r="771">
      <c r="C771" s="77"/>
    </row>
    <row r="772">
      <c r="C772" s="77"/>
    </row>
    <row r="773">
      <c r="C773" s="77"/>
    </row>
    <row r="774">
      <c r="C774" s="77"/>
    </row>
    <row r="775">
      <c r="C775" s="77"/>
    </row>
    <row r="776">
      <c r="C776" s="77"/>
    </row>
    <row r="777">
      <c r="C777" s="77"/>
    </row>
    <row r="778">
      <c r="C778" s="77"/>
    </row>
    <row r="779">
      <c r="C779" s="77"/>
    </row>
    <row r="780">
      <c r="C780" s="77"/>
    </row>
    <row r="781">
      <c r="C781" s="77"/>
    </row>
    <row r="782">
      <c r="C782" s="77"/>
    </row>
    <row r="783">
      <c r="C783" s="77"/>
    </row>
    <row r="784">
      <c r="C784" s="77"/>
    </row>
    <row r="785">
      <c r="C785" s="77"/>
    </row>
    <row r="786">
      <c r="C786" s="77"/>
    </row>
    <row r="787">
      <c r="C787" s="77"/>
    </row>
    <row r="788">
      <c r="C788" s="77"/>
    </row>
    <row r="789">
      <c r="C789" s="77"/>
    </row>
    <row r="790">
      <c r="C790" s="77"/>
    </row>
    <row r="791">
      <c r="C791" s="77"/>
    </row>
    <row r="792">
      <c r="C792" s="77"/>
    </row>
    <row r="793">
      <c r="C793" s="77"/>
    </row>
    <row r="794">
      <c r="C794" s="77"/>
    </row>
    <row r="795">
      <c r="C795" s="77"/>
    </row>
    <row r="796">
      <c r="C796" s="77"/>
    </row>
    <row r="797">
      <c r="C797" s="77"/>
    </row>
    <row r="798">
      <c r="C798" s="77"/>
    </row>
    <row r="799">
      <c r="C799" s="77"/>
    </row>
    <row r="800">
      <c r="C800" s="77"/>
    </row>
    <row r="801">
      <c r="C801" s="77"/>
    </row>
    <row r="802">
      <c r="C802" s="77"/>
    </row>
    <row r="803">
      <c r="C803" s="77"/>
    </row>
    <row r="804">
      <c r="C804" s="77"/>
    </row>
    <row r="805">
      <c r="C805" s="77"/>
    </row>
    <row r="806">
      <c r="C806" s="77"/>
    </row>
    <row r="807">
      <c r="C807" s="77"/>
    </row>
    <row r="808">
      <c r="C808" s="77"/>
    </row>
    <row r="809">
      <c r="C809" s="77"/>
    </row>
    <row r="810">
      <c r="C810" s="77"/>
    </row>
    <row r="811">
      <c r="C811" s="77"/>
    </row>
    <row r="812">
      <c r="C812" s="77"/>
    </row>
    <row r="813">
      <c r="C813" s="77"/>
    </row>
    <row r="814">
      <c r="C814" s="77"/>
    </row>
    <row r="815">
      <c r="C815" s="77"/>
    </row>
    <row r="816">
      <c r="C816" s="77"/>
    </row>
    <row r="817">
      <c r="C817" s="77"/>
    </row>
    <row r="818">
      <c r="C818" s="77"/>
    </row>
    <row r="819">
      <c r="C819" s="77"/>
    </row>
    <row r="820">
      <c r="C820" s="77"/>
    </row>
    <row r="821">
      <c r="C821" s="77"/>
    </row>
    <row r="822">
      <c r="C822" s="77"/>
    </row>
    <row r="823">
      <c r="C823" s="77"/>
    </row>
    <row r="824">
      <c r="C824" s="77"/>
    </row>
    <row r="825">
      <c r="C825" s="77"/>
    </row>
    <row r="826">
      <c r="C826" s="77"/>
    </row>
    <row r="827">
      <c r="C827" s="77"/>
    </row>
    <row r="828">
      <c r="C828" s="77"/>
    </row>
    <row r="829">
      <c r="C829" s="77"/>
    </row>
    <row r="830">
      <c r="C830" s="77"/>
    </row>
    <row r="831">
      <c r="C831" s="77"/>
    </row>
    <row r="832">
      <c r="C832" s="77"/>
    </row>
    <row r="833">
      <c r="C833" s="77"/>
    </row>
    <row r="834">
      <c r="C834" s="77"/>
    </row>
    <row r="835">
      <c r="C835" s="77"/>
    </row>
    <row r="836">
      <c r="C836" s="77"/>
    </row>
    <row r="837">
      <c r="C837" s="77"/>
    </row>
    <row r="838">
      <c r="C838" s="77"/>
    </row>
    <row r="839">
      <c r="C839" s="77"/>
    </row>
    <row r="840">
      <c r="C840" s="77"/>
    </row>
    <row r="841">
      <c r="C841" s="77"/>
    </row>
    <row r="842">
      <c r="C842" s="77"/>
    </row>
    <row r="843">
      <c r="C843" s="77"/>
    </row>
    <row r="844">
      <c r="C844" s="77"/>
    </row>
    <row r="845">
      <c r="C845" s="77"/>
    </row>
    <row r="846">
      <c r="C846" s="77"/>
    </row>
    <row r="847">
      <c r="C847" s="77"/>
    </row>
    <row r="848">
      <c r="C848" s="77"/>
    </row>
    <row r="849">
      <c r="C849" s="77"/>
    </row>
    <row r="850">
      <c r="C850" s="77"/>
    </row>
    <row r="851">
      <c r="C851" s="77"/>
    </row>
    <row r="852">
      <c r="C852" s="77"/>
    </row>
    <row r="853">
      <c r="C853" s="77"/>
    </row>
    <row r="854">
      <c r="C854" s="77"/>
    </row>
    <row r="855">
      <c r="C855" s="77"/>
    </row>
    <row r="856">
      <c r="C856" s="77"/>
    </row>
    <row r="857">
      <c r="C857" s="77"/>
    </row>
    <row r="858">
      <c r="C858" s="77"/>
    </row>
    <row r="859">
      <c r="C859" s="77"/>
    </row>
    <row r="860">
      <c r="C860" s="77"/>
    </row>
    <row r="861">
      <c r="C861" s="77"/>
    </row>
    <row r="862">
      <c r="C862" s="77"/>
    </row>
    <row r="863">
      <c r="C863" s="77"/>
    </row>
    <row r="864">
      <c r="C864" s="77"/>
    </row>
    <row r="865">
      <c r="C865" s="77"/>
    </row>
    <row r="866">
      <c r="C866" s="77"/>
    </row>
    <row r="867">
      <c r="C867" s="77"/>
    </row>
    <row r="868">
      <c r="C868" s="77"/>
    </row>
    <row r="869">
      <c r="C869" s="77"/>
    </row>
    <row r="870">
      <c r="C870" s="77"/>
    </row>
    <row r="871">
      <c r="C871" s="77"/>
    </row>
    <row r="872">
      <c r="C872" s="77"/>
    </row>
    <row r="873">
      <c r="C873" s="77"/>
    </row>
    <row r="874">
      <c r="C874" s="77"/>
    </row>
    <row r="875">
      <c r="C875" s="77"/>
    </row>
    <row r="876">
      <c r="C876" s="77"/>
    </row>
    <row r="877">
      <c r="C877" s="77"/>
    </row>
    <row r="878">
      <c r="C878" s="77"/>
    </row>
    <row r="879">
      <c r="C879" s="77"/>
    </row>
    <row r="880">
      <c r="C880" s="77"/>
    </row>
    <row r="881">
      <c r="C881" s="77"/>
    </row>
    <row r="882">
      <c r="C882" s="77"/>
    </row>
    <row r="883">
      <c r="C883" s="77"/>
    </row>
    <row r="884">
      <c r="C884" s="77"/>
    </row>
    <row r="885">
      <c r="C885" s="77"/>
    </row>
    <row r="886">
      <c r="C886" s="77"/>
    </row>
    <row r="887">
      <c r="C887" s="77"/>
    </row>
    <row r="888">
      <c r="C888" s="77"/>
    </row>
    <row r="889">
      <c r="C889" s="77"/>
    </row>
    <row r="890">
      <c r="C890" s="77"/>
    </row>
    <row r="891">
      <c r="C891" s="77"/>
    </row>
    <row r="892">
      <c r="C892" s="77"/>
    </row>
    <row r="893">
      <c r="C893" s="77"/>
    </row>
    <row r="894">
      <c r="C894" s="77"/>
    </row>
    <row r="895">
      <c r="C895" s="77"/>
    </row>
    <row r="896">
      <c r="C896" s="77"/>
    </row>
    <row r="897">
      <c r="C897" s="77"/>
    </row>
    <row r="898">
      <c r="C898" s="77"/>
    </row>
    <row r="899">
      <c r="C899" s="77"/>
    </row>
    <row r="900">
      <c r="C900" s="77"/>
    </row>
    <row r="901">
      <c r="C901" s="77"/>
    </row>
    <row r="902">
      <c r="C902" s="77"/>
    </row>
    <row r="903">
      <c r="C903" s="77"/>
    </row>
    <row r="904">
      <c r="C904" s="77"/>
    </row>
    <row r="905">
      <c r="C905" s="77"/>
    </row>
    <row r="906">
      <c r="C906" s="77"/>
    </row>
    <row r="907">
      <c r="C907" s="77"/>
    </row>
    <row r="908">
      <c r="C908" s="77"/>
    </row>
    <row r="909">
      <c r="C909" s="77"/>
    </row>
    <row r="910">
      <c r="C910" s="77"/>
    </row>
    <row r="911">
      <c r="C911" s="77"/>
    </row>
    <row r="912">
      <c r="C912" s="77"/>
    </row>
    <row r="913">
      <c r="C913" s="77"/>
    </row>
    <row r="914">
      <c r="C914" s="77"/>
    </row>
    <row r="915">
      <c r="C915" s="77"/>
    </row>
    <row r="916">
      <c r="C916" s="77"/>
    </row>
    <row r="917">
      <c r="C917" s="77"/>
    </row>
    <row r="918">
      <c r="C918" s="77"/>
    </row>
    <row r="919">
      <c r="C919" s="77"/>
    </row>
    <row r="920">
      <c r="C920" s="77"/>
    </row>
    <row r="921">
      <c r="C921" s="77"/>
    </row>
    <row r="922">
      <c r="C922" s="77"/>
    </row>
    <row r="923">
      <c r="C923" s="77"/>
    </row>
    <row r="924">
      <c r="C924" s="77"/>
    </row>
    <row r="925">
      <c r="C925" s="77"/>
    </row>
    <row r="926">
      <c r="C926" s="77"/>
    </row>
    <row r="927">
      <c r="C927" s="77"/>
    </row>
    <row r="928">
      <c r="C928" s="77"/>
    </row>
    <row r="929">
      <c r="C929" s="77"/>
    </row>
    <row r="930">
      <c r="C930" s="77"/>
    </row>
    <row r="931">
      <c r="C931" s="77"/>
    </row>
    <row r="932">
      <c r="C932" s="77"/>
    </row>
    <row r="933">
      <c r="C933" s="77"/>
    </row>
    <row r="934">
      <c r="C934" s="77"/>
    </row>
    <row r="935">
      <c r="C935" s="77"/>
    </row>
    <row r="936">
      <c r="C936" s="77"/>
    </row>
    <row r="937">
      <c r="C937" s="77"/>
    </row>
    <row r="938">
      <c r="C938" s="77"/>
    </row>
    <row r="939">
      <c r="C939" s="77"/>
    </row>
    <row r="940">
      <c r="C940" s="77"/>
    </row>
    <row r="941">
      <c r="C941" s="77"/>
    </row>
    <row r="942">
      <c r="C942" s="77"/>
    </row>
    <row r="943">
      <c r="C943" s="77"/>
    </row>
    <row r="944">
      <c r="C944" s="77"/>
    </row>
    <row r="945">
      <c r="C945" s="77"/>
    </row>
    <row r="946">
      <c r="C946" s="77"/>
    </row>
    <row r="947">
      <c r="C947" s="77"/>
    </row>
    <row r="948">
      <c r="C948" s="77"/>
    </row>
    <row r="949">
      <c r="C949" s="77"/>
    </row>
    <row r="950">
      <c r="C950" s="77"/>
    </row>
    <row r="951">
      <c r="C951" s="77"/>
    </row>
    <row r="952">
      <c r="C952" s="77"/>
    </row>
    <row r="953">
      <c r="C953" s="77"/>
    </row>
    <row r="954">
      <c r="C954" s="77"/>
    </row>
    <row r="955">
      <c r="C955" s="77"/>
    </row>
    <row r="956">
      <c r="C956" s="77"/>
    </row>
    <row r="957">
      <c r="C957" s="77"/>
    </row>
    <row r="958">
      <c r="C958" s="77"/>
    </row>
    <row r="959">
      <c r="C959" s="77"/>
    </row>
  </sheetData>
  <dataValidations>
    <dataValidation type="list" allowBlank="1" sqref="D2:D7">
      <formula1>"Use the model as-is,Refine the model"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493</v>
      </c>
      <c r="B1" s="50" t="s">
        <v>494</v>
      </c>
      <c r="C1" s="50" t="s">
        <v>495</v>
      </c>
      <c r="D1" s="50" t="s">
        <v>496</v>
      </c>
      <c r="E1" s="50" t="s">
        <v>497</v>
      </c>
      <c r="F1" s="50" t="s">
        <v>498</v>
      </c>
      <c r="G1" s="50" t="s">
        <v>499</v>
      </c>
    </row>
    <row r="2">
      <c r="A2" s="58" t="s">
        <v>81</v>
      </c>
      <c r="B2" s="58">
        <v>5.0</v>
      </c>
      <c r="C2" s="58">
        <v>2.0</v>
      </c>
      <c r="D2" s="58">
        <v>3.0</v>
      </c>
      <c r="E2" s="58" t="s">
        <v>500</v>
      </c>
      <c r="F2" s="58" t="s">
        <v>501</v>
      </c>
      <c r="G2" s="58">
        <v>1.0</v>
      </c>
    </row>
    <row r="3">
      <c r="A3" s="58" t="s">
        <v>104</v>
      </c>
      <c r="B3" s="58">
        <v>5.0</v>
      </c>
      <c r="C3" s="58">
        <v>0.0</v>
      </c>
      <c r="D3" s="58">
        <v>5.0</v>
      </c>
      <c r="E3" s="58" t="s">
        <v>502</v>
      </c>
      <c r="F3" s="58" t="s">
        <v>503</v>
      </c>
      <c r="G3" s="58">
        <v>3.0</v>
      </c>
    </row>
    <row r="4">
      <c r="A4" s="58" t="s">
        <v>124</v>
      </c>
      <c r="B4" s="58">
        <v>5.0</v>
      </c>
      <c r="C4" s="58">
        <v>1.0</v>
      </c>
      <c r="D4" s="58">
        <v>4.0</v>
      </c>
      <c r="E4" s="58" t="s">
        <v>504</v>
      </c>
      <c r="F4" s="58" t="s">
        <v>505</v>
      </c>
      <c r="G4" s="58">
        <v>2.0</v>
      </c>
    </row>
    <row r="5">
      <c r="A5" s="91" t="s">
        <v>134</v>
      </c>
      <c r="B5" s="91">
        <v>5.0</v>
      </c>
      <c r="C5" s="91">
        <v>3.0</v>
      </c>
      <c r="D5" s="91">
        <v>2.0</v>
      </c>
      <c r="E5" s="91" t="s">
        <v>506</v>
      </c>
      <c r="F5" s="91" t="s">
        <v>507</v>
      </c>
      <c r="G5" s="91">
        <v>2.0</v>
      </c>
    </row>
    <row r="6">
      <c r="A6" s="58" t="s">
        <v>142</v>
      </c>
      <c r="B6" s="58">
        <v>5.0</v>
      </c>
      <c r="C6" s="58">
        <v>2.0</v>
      </c>
      <c r="D6" s="58">
        <v>3.0</v>
      </c>
      <c r="E6" s="58" t="s">
        <v>500</v>
      </c>
      <c r="F6" s="58" t="s">
        <v>508</v>
      </c>
      <c r="G6" s="58">
        <v>3.0</v>
      </c>
    </row>
    <row r="7">
      <c r="A7" s="91" t="s">
        <v>158</v>
      </c>
      <c r="B7" s="91">
        <v>5.0</v>
      </c>
      <c r="C7" s="91">
        <v>4.0</v>
      </c>
      <c r="D7" s="91">
        <v>1.0</v>
      </c>
      <c r="E7" s="91" t="s">
        <v>511</v>
      </c>
      <c r="F7" s="91" t="s">
        <v>512</v>
      </c>
      <c r="G7" s="91">
        <v>1.0</v>
      </c>
    </row>
    <row r="8">
      <c r="A8" s="81" t="s">
        <v>515</v>
      </c>
      <c r="B8" s="81">
        <v>30.0</v>
      </c>
      <c r="C8" s="81">
        <v>12.0</v>
      </c>
      <c r="D8" s="81">
        <v>18.0</v>
      </c>
      <c r="E8" s="85"/>
      <c r="F8" s="85"/>
      <c r="G8" s="8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  <col customWidth="1" min="4" max="4" width="24.5"/>
    <col customWidth="1" min="7" max="7" width="36.13"/>
    <col customWidth="1" min="18" max="18" width="33.38"/>
    <col customWidth="1" min="19" max="19" width="18.63"/>
    <col customWidth="1" min="21" max="21" width="10.25"/>
    <col customWidth="1" min="22" max="22" width="10.63"/>
    <col customWidth="1" min="60" max="60" width="19.88"/>
    <col customWidth="1" min="61" max="71" width="28.38"/>
    <col customWidth="1" min="72" max="73" width="26.75"/>
    <col customWidth="1" min="74" max="74" width="33.75"/>
    <col customWidth="1" min="75" max="76" width="26.88"/>
  </cols>
  <sheetData>
    <row r="1">
      <c r="A1" s="6" t="s">
        <v>13</v>
      </c>
      <c r="B1" s="8" t="s">
        <v>52</v>
      </c>
      <c r="C1" s="6" t="s">
        <v>522</v>
      </c>
      <c r="D1" s="6" t="s">
        <v>523</v>
      </c>
      <c r="E1" s="6" t="s">
        <v>524</v>
      </c>
      <c r="F1" s="6" t="s">
        <v>525</v>
      </c>
      <c r="G1" s="6" t="s">
        <v>526</v>
      </c>
      <c r="H1" s="8" t="s">
        <v>71</v>
      </c>
      <c r="I1" s="8" t="s">
        <v>72</v>
      </c>
      <c r="J1" s="8" t="s">
        <v>75</v>
      </c>
      <c r="K1" s="8" t="s">
        <v>78</v>
      </c>
      <c r="L1" s="8" t="s">
        <v>80</v>
      </c>
      <c r="M1" s="8" t="s">
        <v>82</v>
      </c>
      <c r="N1" s="8" t="s">
        <v>83</v>
      </c>
      <c r="O1" s="8" t="s">
        <v>84</v>
      </c>
      <c r="P1" s="8" t="s">
        <v>88</v>
      </c>
      <c r="Q1" s="8" t="s">
        <v>109</v>
      </c>
      <c r="R1" s="8" t="s">
        <v>111</v>
      </c>
      <c r="S1" s="8" t="s">
        <v>114</v>
      </c>
      <c r="T1" s="8" t="s">
        <v>63</v>
      </c>
      <c r="U1" s="6" t="s">
        <v>218</v>
      </c>
      <c r="V1" s="6" t="s">
        <v>207</v>
      </c>
      <c r="W1" s="6" t="s">
        <v>524</v>
      </c>
      <c r="X1" s="6" t="s">
        <v>525</v>
      </c>
      <c r="Y1" s="6" t="s">
        <v>527</v>
      </c>
      <c r="Z1" s="6" t="s">
        <v>528</v>
      </c>
      <c r="AA1" s="6" t="s">
        <v>526</v>
      </c>
      <c r="AB1" s="6" t="s">
        <v>529</v>
      </c>
      <c r="AC1" s="6" t="s">
        <v>530</v>
      </c>
      <c r="AD1" s="6" t="s">
        <v>531</v>
      </c>
      <c r="AE1" s="6" t="s">
        <v>532</v>
      </c>
      <c r="AF1" s="6" t="s">
        <v>533</v>
      </c>
      <c r="AG1" s="6" t="s">
        <v>535</v>
      </c>
      <c r="AH1" s="6" t="s">
        <v>537</v>
      </c>
      <c r="AI1" s="6" t="s">
        <v>538</v>
      </c>
      <c r="AJ1" s="6" t="s">
        <v>539</v>
      </c>
      <c r="AK1" s="6" t="s">
        <v>541</v>
      </c>
      <c r="AL1" s="6" t="s">
        <v>542</v>
      </c>
      <c r="AM1" s="6" t="s">
        <v>543</v>
      </c>
      <c r="AN1" s="6" t="s">
        <v>545</v>
      </c>
      <c r="AO1" s="6" t="s">
        <v>546</v>
      </c>
      <c r="AP1" s="6" t="s">
        <v>547</v>
      </c>
      <c r="AQ1" s="6" t="s">
        <v>548</v>
      </c>
      <c r="AR1" s="6" t="s">
        <v>549</v>
      </c>
      <c r="AS1" s="6" t="s">
        <v>550</v>
      </c>
      <c r="AT1" s="6" t="s">
        <v>551</v>
      </c>
      <c r="AU1" s="6" t="s">
        <v>552</v>
      </c>
      <c r="AV1" s="6" t="s">
        <v>553</v>
      </c>
      <c r="AW1" s="6" t="s">
        <v>554</v>
      </c>
      <c r="AX1" s="6" t="s">
        <v>555</v>
      </c>
      <c r="AY1" s="6" t="s">
        <v>556</v>
      </c>
      <c r="AZ1" s="6" t="s">
        <v>557</v>
      </c>
      <c r="BA1" s="6" t="s">
        <v>558</v>
      </c>
      <c r="BB1" s="6" t="s">
        <v>559</v>
      </c>
      <c r="BC1" s="6" t="s">
        <v>560</v>
      </c>
      <c r="BD1" s="6" t="s">
        <v>561</v>
      </c>
      <c r="BE1" s="6" t="s">
        <v>562</v>
      </c>
      <c r="BF1" s="6" t="s">
        <v>563</v>
      </c>
      <c r="BG1" s="6" t="s">
        <v>564</v>
      </c>
      <c r="BH1" s="6" t="s">
        <v>565</v>
      </c>
      <c r="BI1" s="6" t="s">
        <v>566</v>
      </c>
      <c r="BJ1" s="6" t="s">
        <v>567</v>
      </c>
      <c r="BK1" s="6" t="s">
        <v>568</v>
      </c>
      <c r="BL1" s="6" t="s">
        <v>569</v>
      </c>
      <c r="BM1" s="6" t="s">
        <v>570</v>
      </c>
      <c r="BN1" s="6" t="s">
        <v>571</v>
      </c>
      <c r="BO1" s="6" t="s">
        <v>572</v>
      </c>
      <c r="BP1" s="6" t="s">
        <v>573</v>
      </c>
      <c r="BQ1" s="6" t="s">
        <v>574</v>
      </c>
      <c r="BR1" s="6" t="s">
        <v>575</v>
      </c>
      <c r="BS1" s="6" t="s">
        <v>576</v>
      </c>
      <c r="BT1" s="6" t="s">
        <v>577</v>
      </c>
      <c r="BU1" s="6" t="s">
        <v>118</v>
      </c>
      <c r="BV1" s="6" t="s">
        <v>119</v>
      </c>
      <c r="BW1" s="6" t="s">
        <v>120</v>
      </c>
      <c r="BX1" s="6" t="s">
        <v>122</v>
      </c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</row>
    <row r="2">
      <c r="A2" s="6" t="s">
        <v>81</v>
      </c>
      <c r="B2" s="29" t="str">
        <f>IFERROR(VLOOKUP(A2,Projetos!$A$2:$C$7,2,FALSE),"")
</f>
        <v>.NET Corporate Portal Maintainance</v>
      </c>
      <c r="C2" s="6" t="s">
        <v>187</v>
      </c>
      <c r="D2" s="6" t="s">
        <v>582</v>
      </c>
      <c r="E2" s="97">
        <v>0.150789</v>
      </c>
      <c r="F2" s="97">
        <v>0.3</v>
      </c>
      <c r="G2" s="99" t="s">
        <v>584</v>
      </c>
      <c r="H2" s="6" t="s">
        <v>586</v>
      </c>
      <c r="I2" s="6" t="s">
        <v>588</v>
      </c>
      <c r="J2" s="6" t="s">
        <v>589</v>
      </c>
      <c r="K2" s="6" t="s">
        <v>588</v>
      </c>
      <c r="L2" s="6" t="s">
        <v>589</v>
      </c>
      <c r="M2" s="6" t="s">
        <v>588</v>
      </c>
      <c r="N2" s="6" t="s">
        <v>588</v>
      </c>
      <c r="O2" s="6" t="s">
        <v>586</v>
      </c>
      <c r="P2" s="6" t="s">
        <v>588</v>
      </c>
      <c r="Q2" s="6" t="b">
        <v>0</v>
      </c>
      <c r="R2" s="6" t="s">
        <v>594</v>
      </c>
      <c r="S2" s="6">
        <v>3.0</v>
      </c>
      <c r="T2" s="100">
        <v>3.0</v>
      </c>
      <c r="U2" s="101">
        <v>0.164574</v>
      </c>
      <c r="V2" s="100">
        <v>2.0</v>
      </c>
      <c r="W2" s="100">
        <v>0.150789</v>
      </c>
      <c r="X2" s="100">
        <v>0.3</v>
      </c>
      <c r="Y2" s="102" t="s">
        <v>603</v>
      </c>
      <c r="Z2" s="102" t="s">
        <v>607</v>
      </c>
      <c r="AA2" s="102" t="s">
        <v>584</v>
      </c>
      <c r="AB2" s="100">
        <v>0.2</v>
      </c>
      <c r="AC2" s="102" t="s">
        <v>610</v>
      </c>
      <c r="AD2" s="102" t="s">
        <v>610</v>
      </c>
      <c r="AE2" s="102" t="s">
        <v>613</v>
      </c>
      <c r="AF2" s="102" t="s">
        <v>613</v>
      </c>
      <c r="AG2" s="100">
        <v>0.25</v>
      </c>
      <c r="AH2" s="100">
        <v>0.0</v>
      </c>
      <c r="AI2" s="100">
        <v>0.0</v>
      </c>
      <c r="AJ2" s="100">
        <v>3.8924</v>
      </c>
      <c r="AK2" s="100">
        <v>0.020151</v>
      </c>
      <c r="AL2" s="100">
        <v>7.5E-5</v>
      </c>
      <c r="AM2" s="100">
        <v>8.3E-5</v>
      </c>
      <c r="AN2" s="100">
        <v>0.019311</v>
      </c>
      <c r="AO2" s="100">
        <v>0.016823</v>
      </c>
      <c r="AP2" s="100">
        <v>0.036134</v>
      </c>
      <c r="AQ2" s="100">
        <v>0.070719</v>
      </c>
      <c r="AR2" s="100">
        <v>0.275309</v>
      </c>
      <c r="AS2" s="100">
        <v>4.16771</v>
      </c>
      <c r="AT2" s="100">
        <v>2.0</v>
      </c>
      <c r="AU2" s="100">
        <v>1.0</v>
      </c>
      <c r="AV2" s="102" t="s">
        <v>616</v>
      </c>
      <c r="AW2" s="100">
        <v>1.0</v>
      </c>
      <c r="AX2" s="100">
        <v>0.0</v>
      </c>
      <c r="AY2" s="102"/>
      <c r="AZ2" s="100">
        <v>1.0</v>
      </c>
      <c r="BA2" s="100">
        <v>1.0</v>
      </c>
      <c r="BB2" s="102" t="s">
        <v>617</v>
      </c>
      <c r="BC2" s="100">
        <v>1.0</v>
      </c>
      <c r="BD2" s="100">
        <v>0.0</v>
      </c>
      <c r="BE2" s="102"/>
      <c r="BF2" s="100">
        <v>1.0</v>
      </c>
      <c r="BG2" s="100">
        <v>1.0</v>
      </c>
      <c r="BH2" s="102" t="s">
        <v>618</v>
      </c>
      <c r="BI2" s="100">
        <v>1.0</v>
      </c>
      <c r="BJ2" s="100">
        <v>0.0</v>
      </c>
      <c r="BK2" s="102"/>
      <c r="BL2" s="100">
        <v>1.0</v>
      </c>
      <c r="BM2" s="100">
        <v>0.0</v>
      </c>
      <c r="BN2" s="102"/>
      <c r="BO2" s="100">
        <v>2.0</v>
      </c>
      <c r="BP2" s="100">
        <v>1.0</v>
      </c>
      <c r="BQ2" s="102" t="s">
        <v>619</v>
      </c>
      <c r="BR2" s="100">
        <v>1.0</v>
      </c>
      <c r="BS2" s="100">
        <v>0.0</v>
      </c>
      <c r="BT2" s="102"/>
      <c r="BU2" s="6" t="s">
        <v>264</v>
      </c>
      <c r="BV2" s="6" t="s">
        <v>266</v>
      </c>
      <c r="BW2" s="6" t="s">
        <v>267</v>
      </c>
      <c r="BX2" s="6" t="s">
        <v>269</v>
      </c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</row>
    <row r="3">
      <c r="A3" s="6" t="s">
        <v>81</v>
      </c>
      <c r="B3" s="35" t="str">
        <f>IFERROR(
"DOM  M["&amp;VLOOKUP($A2,Projetos!$A:$L,4,FALSE)&amp;"] S["&amp;VLOOKUP($A2,Projetos!$A:$L,5,FALSE)&amp;"] C["&amp;VLOOKUP($A2,Projetos!$A:$L,6,FALSE)&amp;"]"&amp;CHAR(10)&amp;
"ECO  M["&amp;VLOOKUP($A2,Projetos!$A:$L,7,FALSE)&amp;"] S["&amp;VLOOKUP($A2,Projetos!$A:$L,8,FALSE)&amp;"] C["&amp;VLOOKUP($A2,Projetos!$A:$L,9,FALSE)&amp;"]"&amp;CHAR(10)&amp;
"LING M["&amp;VLOOKUP($A2,Projetos!$A:$L,10,FALSE)&amp;"] S["&amp;VLOOKUP($A2,Projetos!$A:$L,11,FALSE)&amp;"] C["&amp;VLOOKUP($A2,Projetos!$A:$L,12,FALSE)&amp;"]"
,"")
</f>
        <v>DOM  M[Desktop, Web] S[Cloud] C[Mobile]
ECO  M[.NET] S[React] C[MongoDB]
LING M[C#] S[JavaScript, TypeScript] C[Python]</v>
      </c>
      <c r="C3" s="6" t="s">
        <v>292</v>
      </c>
      <c r="D3" s="6" t="s">
        <v>620</v>
      </c>
      <c r="E3" s="97">
        <v>0.10468</v>
      </c>
      <c r="F3" s="97">
        <v>0.1</v>
      </c>
      <c r="G3" s="99" t="s">
        <v>635</v>
      </c>
      <c r="H3" s="6" t="s">
        <v>586</v>
      </c>
      <c r="I3" s="6" t="s">
        <v>588</v>
      </c>
      <c r="J3" s="6" t="s">
        <v>588</v>
      </c>
      <c r="K3" s="6" t="s">
        <v>588</v>
      </c>
      <c r="L3" s="6" t="s">
        <v>589</v>
      </c>
      <c r="M3" s="6" t="s">
        <v>588</v>
      </c>
      <c r="N3" s="6" t="s">
        <v>588</v>
      </c>
      <c r="O3" s="6" t="s">
        <v>637</v>
      </c>
      <c r="P3" s="6" t="s">
        <v>589</v>
      </c>
      <c r="Q3" s="6" t="b">
        <v>0</v>
      </c>
      <c r="R3" s="6" t="s">
        <v>594</v>
      </c>
      <c r="S3" s="6">
        <v>3.0</v>
      </c>
      <c r="T3" s="105">
        <v>4.0</v>
      </c>
      <c r="U3" s="101">
        <v>0.105002</v>
      </c>
      <c r="V3" s="100">
        <v>5.0</v>
      </c>
      <c r="W3" s="100">
        <v>0.10468</v>
      </c>
      <c r="X3" s="100">
        <v>0.1</v>
      </c>
      <c r="Y3" s="102" t="s">
        <v>641</v>
      </c>
      <c r="Z3" s="102" t="s">
        <v>642</v>
      </c>
      <c r="AA3" s="102" t="s">
        <v>635</v>
      </c>
      <c r="AB3" s="100">
        <v>0.1</v>
      </c>
      <c r="AC3" s="102" t="s">
        <v>613</v>
      </c>
      <c r="AD3" s="102" t="s">
        <v>613</v>
      </c>
      <c r="AE3" s="102" t="s">
        <v>613</v>
      </c>
      <c r="AF3" s="102" t="s">
        <v>613</v>
      </c>
      <c r="AG3" s="100">
        <v>0.125</v>
      </c>
      <c r="AH3" s="100">
        <v>0.0</v>
      </c>
      <c r="AI3" s="100">
        <v>0.0</v>
      </c>
      <c r="AJ3" s="100">
        <v>3.8924</v>
      </c>
      <c r="AK3" s="100">
        <v>0.036538</v>
      </c>
      <c r="AL3" s="100">
        <v>3.1E-5</v>
      </c>
      <c r="AM3" s="100">
        <v>6.6E-5</v>
      </c>
      <c r="AN3" s="100">
        <v>0.008813</v>
      </c>
      <c r="AO3" s="100">
        <v>0.010753</v>
      </c>
      <c r="AP3" s="100">
        <v>0.019566</v>
      </c>
      <c r="AQ3" s="100">
        <v>0.065568</v>
      </c>
      <c r="AR3" s="100">
        <v>0.275309</v>
      </c>
      <c r="AS3" s="100">
        <v>4.16771</v>
      </c>
      <c r="AT3" s="100">
        <v>2.0</v>
      </c>
      <c r="AU3" s="100">
        <v>1.0</v>
      </c>
      <c r="AV3" s="102" t="s">
        <v>616</v>
      </c>
      <c r="AW3" s="100">
        <v>1.0</v>
      </c>
      <c r="AX3" s="100">
        <v>0.0</v>
      </c>
      <c r="AY3" s="102"/>
      <c r="AZ3" s="100">
        <v>1.0</v>
      </c>
      <c r="BA3" s="100">
        <v>0.0</v>
      </c>
      <c r="BB3" s="102"/>
      <c r="BC3" s="100">
        <v>1.0</v>
      </c>
      <c r="BD3" s="100">
        <v>0.0</v>
      </c>
      <c r="BE3" s="102"/>
      <c r="BF3" s="100">
        <v>1.0</v>
      </c>
      <c r="BG3" s="100">
        <v>1.0</v>
      </c>
      <c r="BH3" s="102" t="s">
        <v>618</v>
      </c>
      <c r="BI3" s="100">
        <v>1.0</v>
      </c>
      <c r="BJ3" s="100">
        <v>0.0</v>
      </c>
      <c r="BK3" s="102"/>
      <c r="BL3" s="100">
        <v>1.0</v>
      </c>
      <c r="BM3" s="100">
        <v>0.0</v>
      </c>
      <c r="BN3" s="102"/>
      <c r="BO3" s="100">
        <v>2.0</v>
      </c>
      <c r="BP3" s="100">
        <v>2.0</v>
      </c>
      <c r="BQ3" s="102" t="s">
        <v>649</v>
      </c>
      <c r="BR3" s="100">
        <v>1.0</v>
      </c>
      <c r="BS3" s="100">
        <v>1.0</v>
      </c>
      <c r="BT3" s="102" t="s">
        <v>653</v>
      </c>
      <c r="BU3" s="6" t="s">
        <v>655</v>
      </c>
      <c r="BV3" s="6" t="s">
        <v>656</v>
      </c>
      <c r="BW3" s="6" t="s">
        <v>657</v>
      </c>
      <c r="BX3" s="6" t="s">
        <v>659</v>
      </c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</row>
    <row r="4">
      <c r="A4" s="6" t="s">
        <v>81</v>
      </c>
      <c r="B4" s="35"/>
      <c r="C4" s="6" t="s">
        <v>294</v>
      </c>
      <c r="D4" s="6" t="s">
        <v>621</v>
      </c>
      <c r="E4" s="97">
        <v>0.10468</v>
      </c>
      <c r="F4" s="97">
        <v>0.3</v>
      </c>
      <c r="G4" s="99" t="s">
        <v>660</v>
      </c>
      <c r="H4" s="6" t="s">
        <v>586</v>
      </c>
      <c r="I4" s="6" t="s">
        <v>588</v>
      </c>
      <c r="J4" s="6" t="s">
        <v>589</v>
      </c>
      <c r="K4" s="6" t="s">
        <v>588</v>
      </c>
      <c r="L4" s="6" t="s">
        <v>589</v>
      </c>
      <c r="M4" s="6" t="s">
        <v>588</v>
      </c>
      <c r="N4" s="6" t="s">
        <v>588</v>
      </c>
      <c r="O4" s="6" t="s">
        <v>586</v>
      </c>
      <c r="P4" s="6" t="s">
        <v>588</v>
      </c>
      <c r="Q4" s="6" t="b">
        <v>0</v>
      </c>
      <c r="R4" s="6" t="s">
        <v>594</v>
      </c>
      <c r="S4" s="6">
        <v>3.0</v>
      </c>
      <c r="T4" s="100">
        <v>4.0</v>
      </c>
      <c r="U4" s="101">
        <v>0.122672</v>
      </c>
      <c r="V4" s="100">
        <v>3.0</v>
      </c>
      <c r="W4" s="100">
        <v>0.10468</v>
      </c>
      <c r="X4" s="100">
        <v>0.3</v>
      </c>
      <c r="Y4" s="102" t="s">
        <v>641</v>
      </c>
      <c r="Z4" s="102" t="s">
        <v>607</v>
      </c>
      <c r="AA4" s="102" t="s">
        <v>660</v>
      </c>
      <c r="AB4" s="100">
        <v>0.2</v>
      </c>
      <c r="AC4" s="102" t="s">
        <v>610</v>
      </c>
      <c r="AD4" s="102" t="s">
        <v>613</v>
      </c>
      <c r="AE4" s="102" t="s">
        <v>613</v>
      </c>
      <c r="AF4" s="102" t="s">
        <v>613</v>
      </c>
      <c r="AG4" s="100">
        <v>0.142857</v>
      </c>
      <c r="AH4" s="100">
        <v>0.0</v>
      </c>
      <c r="AI4" s="100">
        <v>0.0</v>
      </c>
      <c r="AJ4" s="100">
        <v>3.8924</v>
      </c>
      <c r="AK4" s="100">
        <v>0.009004</v>
      </c>
      <c r="AL4" s="100">
        <v>4.2E-5</v>
      </c>
      <c r="AM4" s="100">
        <v>7.0E-5</v>
      </c>
      <c r="AN4" s="100">
        <v>0.012806</v>
      </c>
      <c r="AO4" s="100">
        <v>0.012888</v>
      </c>
      <c r="AP4" s="100">
        <v>0.025694</v>
      </c>
      <c r="AQ4" s="100">
        <v>0.047712</v>
      </c>
      <c r="AR4" s="100">
        <v>0.275309</v>
      </c>
      <c r="AS4" s="100">
        <v>4.16771</v>
      </c>
      <c r="AT4" s="100">
        <v>2.0</v>
      </c>
      <c r="AU4" s="100">
        <v>1.0</v>
      </c>
      <c r="AV4" s="102" t="s">
        <v>616</v>
      </c>
      <c r="AW4" s="100">
        <v>1.0</v>
      </c>
      <c r="AX4" s="100">
        <v>0.0</v>
      </c>
      <c r="AY4" s="102"/>
      <c r="AZ4" s="100">
        <v>1.0</v>
      </c>
      <c r="BA4" s="100">
        <v>1.0</v>
      </c>
      <c r="BB4" s="102" t="s">
        <v>617</v>
      </c>
      <c r="BC4" s="100">
        <v>1.0</v>
      </c>
      <c r="BD4" s="100">
        <v>0.0</v>
      </c>
      <c r="BE4" s="102"/>
      <c r="BF4" s="100">
        <v>1.0</v>
      </c>
      <c r="BG4" s="100">
        <v>1.0</v>
      </c>
      <c r="BH4" s="102" t="s">
        <v>618</v>
      </c>
      <c r="BI4" s="100">
        <v>1.0</v>
      </c>
      <c r="BJ4" s="100">
        <v>0.0</v>
      </c>
      <c r="BK4" s="102"/>
      <c r="BL4" s="100">
        <v>1.0</v>
      </c>
      <c r="BM4" s="100">
        <v>0.0</v>
      </c>
      <c r="BN4" s="102"/>
      <c r="BO4" s="100">
        <v>2.0</v>
      </c>
      <c r="BP4" s="100">
        <v>1.0</v>
      </c>
      <c r="BQ4" s="102" t="s">
        <v>619</v>
      </c>
      <c r="BR4" s="100">
        <v>1.0</v>
      </c>
      <c r="BS4" s="100">
        <v>0.0</v>
      </c>
      <c r="BT4" s="102"/>
      <c r="BU4" s="6" t="s">
        <v>304</v>
      </c>
      <c r="BV4" s="6" t="s">
        <v>305</v>
      </c>
      <c r="BW4" s="6" t="s">
        <v>306</v>
      </c>
      <c r="BX4" s="6" t="s">
        <v>307</v>
      </c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</row>
    <row r="5">
      <c r="A5" s="6" t="s">
        <v>81</v>
      </c>
      <c r="B5" s="35"/>
      <c r="C5" s="6" t="s">
        <v>296</v>
      </c>
      <c r="D5" s="6" t="s">
        <v>622</v>
      </c>
      <c r="E5" s="97">
        <v>0.782261</v>
      </c>
      <c r="F5" s="97">
        <v>0.3</v>
      </c>
      <c r="G5" s="99" t="s">
        <v>672</v>
      </c>
      <c r="H5" s="6" t="s">
        <v>637</v>
      </c>
      <c r="I5" s="6" t="s">
        <v>588</v>
      </c>
      <c r="J5" s="6" t="s">
        <v>588</v>
      </c>
      <c r="K5" s="6" t="s">
        <v>589</v>
      </c>
      <c r="L5" s="6" t="s">
        <v>588</v>
      </c>
      <c r="M5" s="6" t="s">
        <v>588</v>
      </c>
      <c r="N5" s="6" t="s">
        <v>589</v>
      </c>
      <c r="O5" s="6" t="s">
        <v>637</v>
      </c>
      <c r="P5" s="6" t="s">
        <v>588</v>
      </c>
      <c r="Q5" s="6" t="b">
        <v>1</v>
      </c>
      <c r="R5" s="6" t="s">
        <v>675</v>
      </c>
      <c r="S5" s="6">
        <v>0.0</v>
      </c>
      <c r="T5" s="105">
        <v>1.0</v>
      </c>
      <c r="U5" s="101">
        <v>0.371259</v>
      </c>
      <c r="V5" s="100">
        <v>1.0</v>
      </c>
      <c r="W5" s="100">
        <v>0.782261</v>
      </c>
      <c r="X5" s="100">
        <v>0.3</v>
      </c>
      <c r="Y5" s="102" t="s">
        <v>676</v>
      </c>
      <c r="Z5" s="102" t="s">
        <v>607</v>
      </c>
      <c r="AA5" s="102" t="s">
        <v>672</v>
      </c>
      <c r="AB5" s="100">
        <v>0.2</v>
      </c>
      <c r="AC5" s="102" t="s">
        <v>610</v>
      </c>
      <c r="AD5" s="102" t="s">
        <v>677</v>
      </c>
      <c r="AE5" s="102" t="s">
        <v>678</v>
      </c>
      <c r="AF5" s="102" t="s">
        <v>679</v>
      </c>
      <c r="AG5" s="100">
        <v>0.642857</v>
      </c>
      <c r="AH5" s="100">
        <v>0.5</v>
      </c>
      <c r="AI5" s="100">
        <v>0.857143</v>
      </c>
      <c r="AJ5" s="100">
        <v>3.8924</v>
      </c>
      <c r="AK5" s="100">
        <v>0.016339</v>
      </c>
      <c r="AL5" s="100">
        <v>2.3E-5</v>
      </c>
      <c r="AM5" s="100">
        <v>4.4E-5</v>
      </c>
      <c r="AN5" s="100">
        <v>0.010425</v>
      </c>
      <c r="AO5" s="100">
        <v>0.013431</v>
      </c>
      <c r="AP5" s="100">
        <v>0.023856</v>
      </c>
      <c r="AQ5" s="100">
        <v>0.055972</v>
      </c>
      <c r="AR5" s="100">
        <v>0.275309</v>
      </c>
      <c r="AS5" s="100">
        <v>4.16771</v>
      </c>
      <c r="AT5" s="100">
        <v>2.0</v>
      </c>
      <c r="AU5" s="100">
        <v>2.0</v>
      </c>
      <c r="AV5" s="102" t="s">
        <v>681</v>
      </c>
      <c r="AW5" s="100">
        <v>1.0</v>
      </c>
      <c r="AX5" s="100">
        <v>1.0</v>
      </c>
      <c r="AY5" s="102" t="s">
        <v>682</v>
      </c>
      <c r="AZ5" s="100">
        <v>1.0</v>
      </c>
      <c r="BA5" s="100">
        <v>0.0</v>
      </c>
      <c r="BB5" s="102"/>
      <c r="BC5" s="100">
        <v>1.0</v>
      </c>
      <c r="BD5" s="100">
        <v>1.0</v>
      </c>
      <c r="BE5" s="102" t="s">
        <v>683</v>
      </c>
      <c r="BF5" s="100">
        <v>1.0</v>
      </c>
      <c r="BG5" s="100">
        <v>0.0</v>
      </c>
      <c r="BH5" s="102"/>
      <c r="BI5" s="100">
        <v>1.0</v>
      </c>
      <c r="BJ5" s="100">
        <v>0.0</v>
      </c>
      <c r="BK5" s="102"/>
      <c r="BL5" s="100">
        <v>1.0</v>
      </c>
      <c r="BM5" s="100">
        <v>1.0</v>
      </c>
      <c r="BN5" s="102" t="s">
        <v>684</v>
      </c>
      <c r="BO5" s="100">
        <v>2.0</v>
      </c>
      <c r="BP5" s="100">
        <v>2.0</v>
      </c>
      <c r="BQ5" s="102" t="s">
        <v>649</v>
      </c>
      <c r="BR5" s="100">
        <v>1.0</v>
      </c>
      <c r="BS5" s="100">
        <v>1.0</v>
      </c>
      <c r="BT5" s="102" t="s">
        <v>653</v>
      </c>
      <c r="BU5" s="6" t="s">
        <v>313</v>
      </c>
      <c r="BV5" s="6" t="s">
        <v>314</v>
      </c>
      <c r="BW5" s="6" t="s">
        <v>315</v>
      </c>
      <c r="BX5" s="6" t="s">
        <v>316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</row>
    <row r="6">
      <c r="A6" s="6" t="s">
        <v>81</v>
      </c>
      <c r="B6" s="106"/>
      <c r="C6" s="6" t="s">
        <v>298</v>
      </c>
      <c r="D6" s="6" t="s">
        <v>623</v>
      </c>
      <c r="E6" s="97">
        <v>0.150789</v>
      </c>
      <c r="F6" s="97">
        <v>0.1</v>
      </c>
      <c r="G6" s="99" t="s">
        <v>685</v>
      </c>
      <c r="H6" s="6" t="s">
        <v>586</v>
      </c>
      <c r="I6" s="6" t="s">
        <v>588</v>
      </c>
      <c r="J6" s="6" t="s">
        <v>589</v>
      </c>
      <c r="K6" s="6" t="s">
        <v>588</v>
      </c>
      <c r="L6" s="6" t="s">
        <v>589</v>
      </c>
      <c r="M6" s="6" t="s">
        <v>588</v>
      </c>
      <c r="N6" s="6" t="s">
        <v>588</v>
      </c>
      <c r="O6" s="6" t="s">
        <v>586</v>
      </c>
      <c r="P6" s="6" t="s">
        <v>588</v>
      </c>
      <c r="Q6" s="6" t="b">
        <v>0</v>
      </c>
      <c r="R6" s="6" t="s">
        <v>594</v>
      </c>
      <c r="S6" s="6">
        <v>3.0</v>
      </c>
      <c r="T6" s="100">
        <v>2.0</v>
      </c>
      <c r="U6" s="101">
        <v>0.108169</v>
      </c>
      <c r="V6" s="100">
        <v>4.0</v>
      </c>
      <c r="W6" s="100">
        <v>0.150789</v>
      </c>
      <c r="X6" s="100">
        <v>0.1</v>
      </c>
      <c r="Y6" s="102" t="s">
        <v>603</v>
      </c>
      <c r="Z6" s="102" t="s">
        <v>642</v>
      </c>
      <c r="AA6" s="102" t="s">
        <v>685</v>
      </c>
      <c r="AB6" s="100">
        <v>0.1</v>
      </c>
      <c r="AC6" s="102" t="s">
        <v>613</v>
      </c>
      <c r="AD6" s="102" t="s">
        <v>610</v>
      </c>
      <c r="AE6" s="102" t="s">
        <v>613</v>
      </c>
      <c r="AF6" s="102" t="s">
        <v>613</v>
      </c>
      <c r="AG6" s="100">
        <v>0.25</v>
      </c>
      <c r="AH6" s="100">
        <v>0.0</v>
      </c>
      <c r="AI6" s="100">
        <v>0.0</v>
      </c>
      <c r="AJ6" s="100">
        <v>3.8924</v>
      </c>
      <c r="AK6" s="100">
        <v>0.004053</v>
      </c>
      <c r="AL6" s="100">
        <v>2.5E-5</v>
      </c>
      <c r="AM6" s="100">
        <v>5.3E-5</v>
      </c>
      <c r="AN6" s="100">
        <v>0.008205</v>
      </c>
      <c r="AO6" s="100">
        <v>0.009043</v>
      </c>
      <c r="AP6" s="100">
        <v>0.017248</v>
      </c>
      <c r="AQ6" s="100">
        <v>0.032349</v>
      </c>
      <c r="AR6" s="100">
        <v>0.275309</v>
      </c>
      <c r="AS6" s="100">
        <v>4.16771</v>
      </c>
      <c r="AT6" s="100">
        <v>2.0</v>
      </c>
      <c r="AU6" s="100">
        <v>1.0</v>
      </c>
      <c r="AV6" s="102" t="s">
        <v>616</v>
      </c>
      <c r="AW6" s="100">
        <v>1.0</v>
      </c>
      <c r="AX6" s="100">
        <v>0.0</v>
      </c>
      <c r="AY6" s="102"/>
      <c r="AZ6" s="100">
        <v>1.0</v>
      </c>
      <c r="BA6" s="100">
        <v>1.0</v>
      </c>
      <c r="BB6" s="102" t="s">
        <v>617</v>
      </c>
      <c r="BC6" s="100">
        <v>1.0</v>
      </c>
      <c r="BD6" s="100">
        <v>0.0</v>
      </c>
      <c r="BE6" s="102"/>
      <c r="BF6" s="100">
        <v>1.0</v>
      </c>
      <c r="BG6" s="100">
        <v>1.0</v>
      </c>
      <c r="BH6" s="102" t="s">
        <v>618</v>
      </c>
      <c r="BI6" s="100">
        <v>1.0</v>
      </c>
      <c r="BJ6" s="100">
        <v>0.0</v>
      </c>
      <c r="BK6" s="102"/>
      <c r="BL6" s="100">
        <v>1.0</v>
      </c>
      <c r="BM6" s="100">
        <v>0.0</v>
      </c>
      <c r="BN6" s="102"/>
      <c r="BO6" s="100">
        <v>2.0</v>
      </c>
      <c r="BP6" s="100">
        <v>1.0</v>
      </c>
      <c r="BQ6" s="102" t="s">
        <v>619</v>
      </c>
      <c r="BR6" s="100">
        <v>1.0</v>
      </c>
      <c r="BS6" s="100">
        <v>0.0</v>
      </c>
      <c r="BT6" s="102"/>
      <c r="BU6" s="6" t="s">
        <v>320</v>
      </c>
      <c r="BV6" s="6" t="s">
        <v>321</v>
      </c>
      <c r="BW6" s="6" t="s">
        <v>323</v>
      </c>
      <c r="BX6" s="6" t="s">
        <v>324</v>
      </c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</row>
    <row r="7">
      <c r="A7" s="6" t="s">
        <v>104</v>
      </c>
      <c r="B7" s="29" t="str">
        <f>IFERROR(VLOOKUP(A8,Projetos!$A$2:$C$7,2,FALSE),"")
</f>
        <v>Hybrid Mobile App with Web Panel</v>
      </c>
      <c r="C7" s="6" t="s">
        <v>299</v>
      </c>
      <c r="D7" s="6" t="s">
        <v>624</v>
      </c>
      <c r="E7" s="97">
        <v>0.273816</v>
      </c>
      <c r="F7" s="97">
        <v>0.5</v>
      </c>
      <c r="G7" s="99" t="s">
        <v>690</v>
      </c>
      <c r="H7" s="6" t="s">
        <v>589</v>
      </c>
      <c r="I7" s="6" t="s">
        <v>589</v>
      </c>
      <c r="J7" s="6" t="s">
        <v>588</v>
      </c>
      <c r="K7" s="6" t="s">
        <v>586</v>
      </c>
      <c r="L7" s="6" t="s">
        <v>588</v>
      </c>
      <c r="M7" s="6" t="s">
        <v>589</v>
      </c>
      <c r="N7" s="6" t="s">
        <v>586</v>
      </c>
      <c r="O7" s="6" t="s">
        <v>586</v>
      </c>
      <c r="P7" s="6" t="s">
        <v>586</v>
      </c>
      <c r="Q7" s="6" t="b">
        <v>0</v>
      </c>
      <c r="R7" s="6" t="s">
        <v>691</v>
      </c>
      <c r="S7" s="6">
        <v>2.0</v>
      </c>
      <c r="T7" s="107">
        <v>1.0</v>
      </c>
      <c r="U7" s="101">
        <v>0.295863</v>
      </c>
      <c r="V7" s="100">
        <v>2.0</v>
      </c>
      <c r="W7" s="100">
        <v>0.273816</v>
      </c>
      <c r="X7" s="100">
        <v>0.5</v>
      </c>
      <c r="Y7" s="102" t="s">
        <v>693</v>
      </c>
      <c r="Z7" s="102" t="s">
        <v>694</v>
      </c>
      <c r="AA7" s="102" t="s">
        <v>690</v>
      </c>
      <c r="AB7" s="100">
        <v>0.4</v>
      </c>
      <c r="AC7" s="102" t="s">
        <v>678</v>
      </c>
      <c r="AD7" s="102" t="s">
        <v>678</v>
      </c>
      <c r="AE7" s="102" t="s">
        <v>610</v>
      </c>
      <c r="AF7" s="102" t="s">
        <v>613</v>
      </c>
      <c r="AG7" s="100">
        <v>0.428572</v>
      </c>
      <c r="AH7" s="100">
        <v>0.253968</v>
      </c>
      <c r="AI7" s="100">
        <v>0.09375</v>
      </c>
      <c r="AJ7" s="100">
        <v>3.8924</v>
      </c>
      <c r="AK7" s="100">
        <v>0.035384</v>
      </c>
      <c r="AL7" s="100">
        <v>2.5E-5</v>
      </c>
      <c r="AM7" s="100">
        <v>3.9E-5</v>
      </c>
      <c r="AN7" s="100">
        <v>0.008263</v>
      </c>
      <c r="AO7" s="100">
        <v>0.009401</v>
      </c>
      <c r="AP7" s="100">
        <v>0.017663</v>
      </c>
      <c r="AQ7" s="100">
        <v>0.061853</v>
      </c>
      <c r="AR7" s="100">
        <v>0.291504</v>
      </c>
      <c r="AS7" s="100">
        <v>4.183905</v>
      </c>
      <c r="AT7" s="100">
        <v>1.0</v>
      </c>
      <c r="AU7" s="100">
        <v>1.0</v>
      </c>
      <c r="AV7" s="102" t="s">
        <v>617</v>
      </c>
      <c r="AW7" s="100">
        <v>1.0</v>
      </c>
      <c r="AX7" s="100">
        <v>1.0</v>
      </c>
      <c r="AY7" s="102" t="s">
        <v>616</v>
      </c>
      <c r="AZ7" s="100">
        <v>1.0</v>
      </c>
      <c r="BA7" s="100">
        <v>1.0</v>
      </c>
      <c r="BB7" s="102" t="s">
        <v>682</v>
      </c>
      <c r="BC7" s="100">
        <v>3.0</v>
      </c>
      <c r="BD7" s="100">
        <v>2.0</v>
      </c>
      <c r="BE7" s="102" t="s">
        <v>695</v>
      </c>
      <c r="BF7" s="100">
        <v>1.0</v>
      </c>
      <c r="BG7" s="100">
        <v>0.0</v>
      </c>
      <c r="BH7" s="102"/>
      <c r="BI7" s="100">
        <v>1.0</v>
      </c>
      <c r="BJ7" s="100">
        <v>1.0</v>
      </c>
      <c r="BK7" s="102" t="s">
        <v>683</v>
      </c>
      <c r="BL7" s="100">
        <v>2.0</v>
      </c>
      <c r="BM7" s="100">
        <v>1.0</v>
      </c>
      <c r="BN7" s="102" t="s">
        <v>696</v>
      </c>
      <c r="BO7" s="100">
        <v>2.0</v>
      </c>
      <c r="BP7" s="100">
        <v>1.0</v>
      </c>
      <c r="BQ7" s="102" t="s">
        <v>619</v>
      </c>
      <c r="BR7" s="100">
        <v>2.0</v>
      </c>
      <c r="BS7" s="100">
        <v>1.0</v>
      </c>
      <c r="BT7" s="102" t="s">
        <v>684</v>
      </c>
      <c r="BU7" s="6" t="s">
        <v>350</v>
      </c>
      <c r="BV7" s="6" t="s">
        <v>353</v>
      </c>
      <c r="BW7" s="6" t="s">
        <v>354</v>
      </c>
      <c r="BX7" s="6" t="s">
        <v>355</v>
      </c>
    </row>
    <row r="8">
      <c r="A8" s="6" t="s">
        <v>104</v>
      </c>
      <c r="B8" s="35" t="str">
        <f>IFERROR(
"DOM  M["&amp;VLOOKUP($A8,Projetos!$A:$L,4,FALSE)&amp;"] S["&amp;VLOOKUP($A8,Projetos!$A:$L,5,FALSE)&amp;"] C["&amp;VLOOKUP($A8,Projetos!$A:$L,6,FALSE)&amp;"]"&amp;CHAR(10)&amp;
"ECO  M["&amp;VLOOKUP($A8,Projetos!$A:$L,7,FALSE)&amp;"] S["&amp;VLOOKUP($A8,Projetos!$A:$L,8,FALSE)&amp;"] C["&amp;VLOOKUP($A8,Projetos!$A:$L,9,FALSE)&amp;"]"&amp;CHAR(10)&amp;
"LING M["&amp;VLOOKUP($A8,Projetos!$A:$L,10,FALSE)&amp;"] S["&amp;VLOOKUP($A8,Projetos!$A:$L,11,FALSE)&amp;"] C["&amp;VLOOKUP($A8,Projetos!$A:$L,12,FALSE)&amp;"]"
,"")
</f>
        <v>DOM  M[Mobile] S[Web] C[Cloud]
ECO  M[Android, iOS/iPadOS] S[React] C[.NET]
LING M[Kotlin, Swift] S[JavaScript, TypeScript] C[Java, C#]</v>
      </c>
      <c r="C8" s="6" t="s">
        <v>302</v>
      </c>
      <c r="D8" s="6" t="s">
        <v>625</v>
      </c>
      <c r="E8" s="97">
        <v>0.10468</v>
      </c>
      <c r="F8" s="97">
        <v>0.5</v>
      </c>
      <c r="G8" s="99" t="s">
        <v>701</v>
      </c>
      <c r="H8" s="6" t="s">
        <v>588</v>
      </c>
      <c r="I8" s="6" t="s">
        <v>589</v>
      </c>
      <c r="J8" s="6" t="s">
        <v>588</v>
      </c>
      <c r="K8" s="6" t="s">
        <v>702</v>
      </c>
      <c r="L8" s="6" t="s">
        <v>589</v>
      </c>
      <c r="M8" s="6" t="s">
        <v>588</v>
      </c>
      <c r="N8" s="6" t="s">
        <v>702</v>
      </c>
      <c r="O8" s="6" t="s">
        <v>637</v>
      </c>
      <c r="P8" s="6" t="s">
        <v>586</v>
      </c>
      <c r="Q8" s="6" t="b">
        <v>0</v>
      </c>
      <c r="R8" s="6" t="s">
        <v>703</v>
      </c>
      <c r="S8" s="6">
        <v>5.0</v>
      </c>
      <c r="T8" s="100">
        <v>2.0</v>
      </c>
      <c r="U8" s="101">
        <v>0.15454</v>
      </c>
      <c r="V8" s="100">
        <v>5.0</v>
      </c>
      <c r="W8" s="100">
        <v>0.10468</v>
      </c>
      <c r="X8" s="100">
        <v>0.5</v>
      </c>
      <c r="Y8" s="102" t="s">
        <v>641</v>
      </c>
      <c r="Z8" s="102" t="s">
        <v>694</v>
      </c>
      <c r="AA8" s="102" t="s">
        <v>701</v>
      </c>
      <c r="AB8" s="100">
        <v>0.4</v>
      </c>
      <c r="AC8" s="102" t="s">
        <v>678</v>
      </c>
      <c r="AD8" s="102" t="s">
        <v>613</v>
      </c>
      <c r="AE8" s="102" t="s">
        <v>613</v>
      </c>
      <c r="AF8" s="102" t="s">
        <v>613</v>
      </c>
      <c r="AG8" s="100">
        <v>0.0</v>
      </c>
      <c r="AH8" s="100">
        <v>0.0</v>
      </c>
      <c r="AI8" s="100">
        <v>0.0</v>
      </c>
      <c r="AJ8" s="100">
        <v>3.8924</v>
      </c>
      <c r="AK8" s="100">
        <v>0.032516</v>
      </c>
      <c r="AL8" s="100">
        <v>2.5E-5</v>
      </c>
      <c r="AM8" s="100">
        <v>5.2E-5</v>
      </c>
      <c r="AN8" s="100">
        <v>0.011972</v>
      </c>
      <c r="AO8" s="100">
        <v>0.011754</v>
      </c>
      <c r="AP8" s="100">
        <v>0.023726</v>
      </c>
      <c r="AQ8" s="100">
        <v>0.070302</v>
      </c>
      <c r="AR8" s="100">
        <v>0.291504</v>
      </c>
      <c r="AS8" s="100">
        <v>4.183905</v>
      </c>
      <c r="AT8" s="100">
        <v>1.0</v>
      </c>
      <c r="AU8" s="100">
        <v>0.0</v>
      </c>
      <c r="AV8" s="102"/>
      <c r="AW8" s="100">
        <v>1.0</v>
      </c>
      <c r="AX8" s="100">
        <v>1.0</v>
      </c>
      <c r="AY8" s="102" t="s">
        <v>616</v>
      </c>
      <c r="AZ8" s="100">
        <v>1.0</v>
      </c>
      <c r="BA8" s="100">
        <v>0.0</v>
      </c>
      <c r="BB8" s="102"/>
      <c r="BC8" s="100">
        <v>3.0</v>
      </c>
      <c r="BD8" s="100">
        <v>0.0</v>
      </c>
      <c r="BE8" s="102"/>
      <c r="BF8" s="100">
        <v>1.0</v>
      </c>
      <c r="BG8" s="100">
        <v>1.0</v>
      </c>
      <c r="BH8" s="102" t="s">
        <v>618</v>
      </c>
      <c r="BI8" s="100">
        <v>1.0</v>
      </c>
      <c r="BJ8" s="100">
        <v>0.0</v>
      </c>
      <c r="BK8" s="102"/>
      <c r="BL8" s="100">
        <v>2.0</v>
      </c>
      <c r="BM8" s="100">
        <v>0.0</v>
      </c>
      <c r="BN8" s="102"/>
      <c r="BO8" s="100">
        <v>2.0</v>
      </c>
      <c r="BP8" s="100">
        <v>2.0</v>
      </c>
      <c r="BQ8" s="102" t="s">
        <v>649</v>
      </c>
      <c r="BR8" s="100">
        <v>2.0</v>
      </c>
      <c r="BS8" s="100">
        <v>1.0</v>
      </c>
      <c r="BT8" s="102" t="s">
        <v>705</v>
      </c>
      <c r="BU8" s="6" t="s">
        <v>419</v>
      </c>
      <c r="BV8" s="6" t="s">
        <v>422</v>
      </c>
      <c r="BW8" s="6" t="s">
        <v>424</v>
      </c>
      <c r="BX8" s="6" t="s">
        <v>425</v>
      </c>
    </row>
    <row r="9">
      <c r="A9" s="6" t="s">
        <v>104</v>
      </c>
      <c r="C9" s="6" t="s">
        <v>303</v>
      </c>
      <c r="D9" s="6" t="s">
        <v>628</v>
      </c>
      <c r="E9" s="97">
        <v>0.273816</v>
      </c>
      <c r="F9" s="97">
        <v>0.5</v>
      </c>
      <c r="G9" s="99" t="s">
        <v>690</v>
      </c>
      <c r="H9" s="6" t="s">
        <v>589</v>
      </c>
      <c r="I9" s="6" t="s">
        <v>589</v>
      </c>
      <c r="J9" s="6" t="s">
        <v>588</v>
      </c>
      <c r="K9" s="6" t="s">
        <v>586</v>
      </c>
      <c r="L9" s="6" t="s">
        <v>588</v>
      </c>
      <c r="M9" s="6" t="s">
        <v>589</v>
      </c>
      <c r="N9" s="6" t="s">
        <v>586</v>
      </c>
      <c r="O9" s="6" t="s">
        <v>586</v>
      </c>
      <c r="P9" s="6" t="s">
        <v>637</v>
      </c>
      <c r="Q9" s="6" t="b">
        <v>0</v>
      </c>
      <c r="R9" s="6" t="s">
        <v>691</v>
      </c>
      <c r="S9" s="6">
        <v>2.0</v>
      </c>
      <c r="T9" s="100">
        <v>3.0</v>
      </c>
      <c r="U9" s="101">
        <v>0.295863</v>
      </c>
      <c r="V9" s="100">
        <v>3.0</v>
      </c>
      <c r="W9" s="100">
        <v>0.273816</v>
      </c>
      <c r="X9" s="100">
        <v>0.5</v>
      </c>
      <c r="Y9" s="102" t="s">
        <v>693</v>
      </c>
      <c r="Z9" s="102" t="s">
        <v>694</v>
      </c>
      <c r="AA9" s="102" t="s">
        <v>690</v>
      </c>
      <c r="AB9" s="100">
        <v>0.4</v>
      </c>
      <c r="AC9" s="102" t="s">
        <v>678</v>
      </c>
      <c r="AD9" s="102" t="s">
        <v>678</v>
      </c>
      <c r="AE9" s="102" t="s">
        <v>610</v>
      </c>
      <c r="AF9" s="102" t="s">
        <v>613</v>
      </c>
      <c r="AG9" s="100">
        <v>0.428572</v>
      </c>
      <c r="AH9" s="100">
        <v>0.253968</v>
      </c>
      <c r="AI9" s="100">
        <v>0.125</v>
      </c>
      <c r="AJ9" s="100">
        <v>3.8924</v>
      </c>
      <c r="AK9" s="100">
        <v>0.003756</v>
      </c>
      <c r="AL9" s="100">
        <v>2.2E-5</v>
      </c>
      <c r="AM9" s="100">
        <v>3.9E-5</v>
      </c>
      <c r="AN9" s="100">
        <v>0.009141</v>
      </c>
      <c r="AO9" s="100">
        <v>0.011138</v>
      </c>
      <c r="AP9" s="100">
        <v>0.020279</v>
      </c>
      <c r="AQ9" s="100">
        <v>0.032959</v>
      </c>
      <c r="AR9" s="100">
        <v>0.291504</v>
      </c>
      <c r="AS9" s="100">
        <v>4.183905</v>
      </c>
      <c r="AT9" s="100">
        <v>1.0</v>
      </c>
      <c r="AU9" s="100">
        <v>1.0</v>
      </c>
      <c r="AV9" s="102" t="s">
        <v>617</v>
      </c>
      <c r="AW9" s="100">
        <v>1.0</v>
      </c>
      <c r="AX9" s="100">
        <v>1.0</v>
      </c>
      <c r="AY9" s="102" t="s">
        <v>616</v>
      </c>
      <c r="AZ9" s="100">
        <v>1.0</v>
      </c>
      <c r="BA9" s="100">
        <v>0.0</v>
      </c>
      <c r="BB9" s="102"/>
      <c r="BC9" s="100">
        <v>3.0</v>
      </c>
      <c r="BD9" s="100">
        <v>2.0</v>
      </c>
      <c r="BE9" s="102" t="s">
        <v>695</v>
      </c>
      <c r="BF9" s="100">
        <v>1.0</v>
      </c>
      <c r="BG9" s="100">
        <v>0.0</v>
      </c>
      <c r="BH9" s="102"/>
      <c r="BI9" s="100">
        <v>1.0</v>
      </c>
      <c r="BJ9" s="100">
        <v>1.0</v>
      </c>
      <c r="BK9" s="102" t="s">
        <v>683</v>
      </c>
      <c r="BL9" s="100">
        <v>2.0</v>
      </c>
      <c r="BM9" s="100">
        <v>1.0</v>
      </c>
      <c r="BN9" s="102" t="s">
        <v>696</v>
      </c>
      <c r="BO9" s="100">
        <v>2.0</v>
      </c>
      <c r="BP9" s="100">
        <v>1.0</v>
      </c>
      <c r="BQ9" s="102" t="s">
        <v>619</v>
      </c>
      <c r="BR9" s="100">
        <v>2.0</v>
      </c>
      <c r="BS9" s="100">
        <v>2.0</v>
      </c>
      <c r="BT9" s="102" t="s">
        <v>706</v>
      </c>
      <c r="BU9" s="6" t="s">
        <v>432</v>
      </c>
      <c r="BV9" s="6" t="s">
        <v>433</v>
      </c>
      <c r="BW9" s="6" t="s">
        <v>434</v>
      </c>
      <c r="BX9" s="6" t="s">
        <v>435</v>
      </c>
    </row>
    <row r="10">
      <c r="A10" s="6" t="s">
        <v>104</v>
      </c>
      <c r="B10" s="35"/>
      <c r="C10" s="6" t="s">
        <v>308</v>
      </c>
      <c r="D10" s="6" t="s">
        <v>629</v>
      </c>
      <c r="E10" s="97">
        <v>0.249664</v>
      </c>
      <c r="F10" s="97">
        <v>0.5</v>
      </c>
      <c r="G10" s="99" t="s">
        <v>707</v>
      </c>
      <c r="H10" s="6" t="s">
        <v>589</v>
      </c>
      <c r="I10" s="6" t="s">
        <v>589</v>
      </c>
      <c r="J10" s="6" t="s">
        <v>589</v>
      </c>
      <c r="K10" s="6" t="s">
        <v>586</v>
      </c>
      <c r="L10" s="6" t="s">
        <v>589</v>
      </c>
      <c r="M10" s="6" t="s">
        <v>588</v>
      </c>
      <c r="N10" s="6" t="s">
        <v>586</v>
      </c>
      <c r="O10" s="6" t="s">
        <v>586</v>
      </c>
      <c r="P10" s="6" t="s">
        <v>702</v>
      </c>
      <c r="Q10" s="6" t="b">
        <v>0</v>
      </c>
      <c r="R10" s="6" t="s">
        <v>691</v>
      </c>
      <c r="S10" s="6">
        <v>2.0</v>
      </c>
      <c r="T10" s="108">
        <v>5.0</v>
      </c>
      <c r="U10" s="101">
        <v>0.275664</v>
      </c>
      <c r="V10" s="100">
        <v>4.0</v>
      </c>
      <c r="W10" s="100">
        <v>0.249664</v>
      </c>
      <c r="X10" s="100">
        <v>0.5</v>
      </c>
      <c r="Y10" s="102" t="s">
        <v>712</v>
      </c>
      <c r="Z10" s="102" t="s">
        <v>694</v>
      </c>
      <c r="AA10" s="102" t="s">
        <v>707</v>
      </c>
      <c r="AB10" s="100">
        <v>0.4</v>
      </c>
      <c r="AC10" s="102" t="s">
        <v>678</v>
      </c>
      <c r="AD10" s="102" t="s">
        <v>678</v>
      </c>
      <c r="AE10" s="102" t="s">
        <v>613</v>
      </c>
      <c r="AF10" s="102" t="s">
        <v>613</v>
      </c>
      <c r="AG10" s="100">
        <v>0.428572</v>
      </c>
      <c r="AH10" s="100">
        <v>0.047619</v>
      </c>
      <c r="AI10" s="100">
        <v>0.0625</v>
      </c>
      <c r="AJ10" s="100">
        <v>3.8924</v>
      </c>
      <c r="AK10" s="100">
        <v>0.019266</v>
      </c>
      <c r="AL10" s="100">
        <v>2.1E-5</v>
      </c>
      <c r="AM10" s="100">
        <v>4.3E-5</v>
      </c>
      <c r="AN10" s="100">
        <v>0.00862</v>
      </c>
      <c r="AO10" s="100">
        <v>0.017026</v>
      </c>
      <c r="AP10" s="100">
        <v>0.025646</v>
      </c>
      <c r="AQ10" s="100">
        <v>0.054377</v>
      </c>
      <c r="AR10" s="100">
        <v>0.291504</v>
      </c>
      <c r="AS10" s="100">
        <v>4.183905</v>
      </c>
      <c r="AT10" s="100">
        <v>1.0</v>
      </c>
      <c r="AU10" s="100">
        <v>1.0</v>
      </c>
      <c r="AV10" s="102" t="s">
        <v>617</v>
      </c>
      <c r="AW10" s="100">
        <v>1.0</v>
      </c>
      <c r="AX10" s="100">
        <v>1.0</v>
      </c>
      <c r="AY10" s="102" t="s">
        <v>616</v>
      </c>
      <c r="AZ10" s="100">
        <v>1.0</v>
      </c>
      <c r="BA10" s="100">
        <v>1.0</v>
      </c>
      <c r="BB10" s="102" t="s">
        <v>682</v>
      </c>
      <c r="BC10" s="100">
        <v>3.0</v>
      </c>
      <c r="BD10" s="100">
        <v>1.0</v>
      </c>
      <c r="BE10" s="102" t="s">
        <v>713</v>
      </c>
      <c r="BF10" s="100">
        <v>1.0</v>
      </c>
      <c r="BG10" s="100">
        <v>1.0</v>
      </c>
      <c r="BH10" s="102" t="s">
        <v>618</v>
      </c>
      <c r="BI10" s="100">
        <v>1.0</v>
      </c>
      <c r="BJ10" s="100">
        <v>0.0</v>
      </c>
      <c r="BK10" s="102"/>
      <c r="BL10" s="100">
        <v>2.0</v>
      </c>
      <c r="BM10" s="100">
        <v>1.0</v>
      </c>
      <c r="BN10" s="102" t="s">
        <v>714</v>
      </c>
      <c r="BO10" s="100">
        <v>2.0</v>
      </c>
      <c r="BP10" s="100">
        <v>1.0</v>
      </c>
      <c r="BQ10" s="102" t="s">
        <v>619</v>
      </c>
      <c r="BR10" s="100">
        <v>2.0</v>
      </c>
      <c r="BS10" s="100">
        <v>0.0</v>
      </c>
      <c r="BT10" s="102"/>
      <c r="BU10" s="6" t="s">
        <v>437</v>
      </c>
      <c r="BV10" s="6" t="s">
        <v>438</v>
      </c>
      <c r="BW10" s="6" t="s">
        <v>439</v>
      </c>
      <c r="BX10" s="6" t="s">
        <v>440</v>
      </c>
    </row>
    <row r="11">
      <c r="A11" s="6" t="s">
        <v>104</v>
      </c>
      <c r="B11" s="35"/>
      <c r="C11" s="6" t="s">
        <v>311</v>
      </c>
      <c r="D11" s="6" t="s">
        <v>632</v>
      </c>
      <c r="E11" s="97">
        <v>0.489471</v>
      </c>
      <c r="F11" s="97">
        <v>0.3</v>
      </c>
      <c r="G11" s="99" t="s">
        <v>715</v>
      </c>
      <c r="H11" s="6" t="s">
        <v>589</v>
      </c>
      <c r="I11" s="6" t="s">
        <v>588</v>
      </c>
      <c r="J11" s="6" t="s">
        <v>588</v>
      </c>
      <c r="K11" s="6" t="s">
        <v>637</v>
      </c>
      <c r="L11" s="6" t="s">
        <v>588</v>
      </c>
      <c r="M11" s="6" t="s">
        <v>588</v>
      </c>
      <c r="N11" s="6" t="s">
        <v>637</v>
      </c>
      <c r="O11" s="6" t="s">
        <v>586</v>
      </c>
      <c r="P11" s="6" t="s">
        <v>702</v>
      </c>
      <c r="Q11" s="6" t="b">
        <v>1</v>
      </c>
      <c r="R11" s="6" t="s">
        <v>675</v>
      </c>
      <c r="S11" s="6">
        <v>0.0</v>
      </c>
      <c r="T11" s="100">
        <v>3.0</v>
      </c>
      <c r="U11" s="101">
        <v>0.316897</v>
      </c>
      <c r="V11" s="100">
        <v>1.0</v>
      </c>
      <c r="W11" s="100">
        <v>0.489471</v>
      </c>
      <c r="X11" s="100">
        <v>0.3</v>
      </c>
      <c r="Y11" s="102" t="s">
        <v>717</v>
      </c>
      <c r="Z11" s="102" t="s">
        <v>607</v>
      </c>
      <c r="AA11" s="102" t="s">
        <v>715</v>
      </c>
      <c r="AB11" s="100">
        <v>0.2</v>
      </c>
      <c r="AC11" s="102" t="s">
        <v>610</v>
      </c>
      <c r="AD11" s="102" t="s">
        <v>678</v>
      </c>
      <c r="AE11" s="102" t="s">
        <v>610</v>
      </c>
      <c r="AF11" s="102" t="s">
        <v>678</v>
      </c>
      <c r="AG11" s="100">
        <v>0.5</v>
      </c>
      <c r="AH11" s="100">
        <v>0.357143</v>
      </c>
      <c r="AI11" s="100">
        <v>0.464286</v>
      </c>
      <c r="AJ11" s="100">
        <v>3.8924</v>
      </c>
      <c r="AK11" s="100">
        <v>0.036072</v>
      </c>
      <c r="AL11" s="100">
        <v>2.2E-5</v>
      </c>
      <c r="AM11" s="100">
        <v>4.4E-5</v>
      </c>
      <c r="AN11" s="100">
        <v>0.010703</v>
      </c>
      <c r="AO11" s="100">
        <v>0.012503</v>
      </c>
      <c r="AP11" s="100">
        <v>0.023206</v>
      </c>
      <c r="AQ11" s="100">
        <v>0.069384</v>
      </c>
      <c r="AR11" s="100">
        <v>0.291504</v>
      </c>
      <c r="AS11" s="100">
        <v>4.183905</v>
      </c>
      <c r="AT11" s="100">
        <v>1.0</v>
      </c>
      <c r="AU11" s="100">
        <v>1.0</v>
      </c>
      <c r="AV11" s="102" t="s">
        <v>617</v>
      </c>
      <c r="AW11" s="100">
        <v>1.0</v>
      </c>
      <c r="AX11" s="100">
        <v>0.0</v>
      </c>
      <c r="AY11" s="102"/>
      <c r="AZ11" s="100">
        <v>1.0</v>
      </c>
      <c r="BA11" s="100">
        <v>0.0</v>
      </c>
      <c r="BB11" s="102"/>
      <c r="BC11" s="100">
        <v>3.0</v>
      </c>
      <c r="BD11" s="100">
        <v>3.0</v>
      </c>
      <c r="BE11" s="102" t="s">
        <v>718</v>
      </c>
      <c r="BF11" s="100">
        <v>1.0</v>
      </c>
      <c r="BG11" s="100">
        <v>0.0</v>
      </c>
      <c r="BH11" s="102"/>
      <c r="BI11" s="100">
        <v>1.0</v>
      </c>
      <c r="BJ11" s="100">
        <v>0.0</v>
      </c>
      <c r="BK11" s="102"/>
      <c r="BL11" s="100">
        <v>2.0</v>
      </c>
      <c r="BM11" s="100">
        <v>2.0</v>
      </c>
      <c r="BN11" s="102" t="s">
        <v>719</v>
      </c>
      <c r="BO11" s="100">
        <v>2.0</v>
      </c>
      <c r="BP11" s="100">
        <v>1.0</v>
      </c>
      <c r="BQ11" s="102" t="s">
        <v>619</v>
      </c>
      <c r="BR11" s="100">
        <v>2.0</v>
      </c>
      <c r="BS11" s="100">
        <v>0.0</v>
      </c>
      <c r="BT11" s="102"/>
      <c r="BU11" s="6" t="s">
        <v>442</v>
      </c>
      <c r="BV11" s="6" t="s">
        <v>443</v>
      </c>
      <c r="BW11" s="6" t="s">
        <v>444</v>
      </c>
      <c r="BX11" s="6" t="s">
        <v>445</v>
      </c>
    </row>
    <row r="12">
      <c r="A12" s="6" t="s">
        <v>124</v>
      </c>
      <c r="B12" s="29" t="str">
        <f>IFERROR(VLOOKUP(A14,Projetos!$A$2:$C$7,2,FALSE),"")
</f>
        <v>Cloud IoT Sensor Platform </v>
      </c>
      <c r="C12" s="6" t="s">
        <v>312</v>
      </c>
      <c r="D12" s="6" t="s">
        <v>634</v>
      </c>
      <c r="E12" s="97">
        <v>0.350869</v>
      </c>
      <c r="F12" s="97">
        <v>0.3</v>
      </c>
      <c r="G12" s="99" t="s">
        <v>720</v>
      </c>
      <c r="H12" s="6" t="s">
        <v>586</v>
      </c>
      <c r="I12" s="6" t="s">
        <v>589</v>
      </c>
      <c r="J12" s="6" t="s">
        <v>588</v>
      </c>
      <c r="K12" s="6" t="s">
        <v>589</v>
      </c>
      <c r="L12" s="6" t="s">
        <v>721</v>
      </c>
      <c r="M12" s="6" t="s">
        <v>589</v>
      </c>
      <c r="N12" s="6" t="s">
        <v>586</v>
      </c>
      <c r="O12" s="6" t="s">
        <v>589</v>
      </c>
      <c r="P12" s="6" t="s">
        <v>702</v>
      </c>
      <c r="Q12" s="6" t="b">
        <v>0</v>
      </c>
      <c r="R12" s="6" t="s">
        <v>722</v>
      </c>
      <c r="S12" s="6">
        <v>2.0</v>
      </c>
      <c r="T12" s="105">
        <v>1.0</v>
      </c>
      <c r="U12" s="101">
        <v>0.304565</v>
      </c>
      <c r="V12" s="100">
        <v>1.0</v>
      </c>
      <c r="W12" s="100">
        <v>0.350869</v>
      </c>
      <c r="X12" s="100">
        <v>0.3</v>
      </c>
      <c r="Y12" s="102" t="s">
        <v>723</v>
      </c>
      <c r="Z12" s="102" t="s">
        <v>607</v>
      </c>
      <c r="AA12" s="102" t="s">
        <v>720</v>
      </c>
      <c r="AB12" s="100">
        <v>0.2</v>
      </c>
      <c r="AC12" s="102" t="s">
        <v>610</v>
      </c>
      <c r="AD12" s="102" t="s">
        <v>610</v>
      </c>
      <c r="AE12" s="102" t="s">
        <v>679</v>
      </c>
      <c r="AF12" s="102" t="s">
        <v>610</v>
      </c>
      <c r="AG12" s="100">
        <v>0.214286</v>
      </c>
      <c r="AH12" s="100">
        <v>0.952381</v>
      </c>
      <c r="AI12" s="100">
        <v>0.214286</v>
      </c>
      <c r="AJ12" s="100">
        <v>3.8924</v>
      </c>
      <c r="AK12" s="100">
        <v>0.004499</v>
      </c>
      <c r="AL12" s="100">
        <v>2.5E-5</v>
      </c>
      <c r="AM12" s="100">
        <v>5.4E-5</v>
      </c>
      <c r="AN12" s="100">
        <v>0.01386</v>
      </c>
      <c r="AO12" s="100">
        <v>0.013487</v>
      </c>
      <c r="AP12" s="100">
        <v>0.027347</v>
      </c>
      <c r="AQ12" s="100">
        <v>0.045754</v>
      </c>
      <c r="AR12" s="100">
        <v>0.404901</v>
      </c>
      <c r="AS12" s="100">
        <v>4.297301</v>
      </c>
      <c r="AT12" s="100">
        <v>2.0</v>
      </c>
      <c r="AU12" s="100">
        <v>1.0</v>
      </c>
      <c r="AV12" s="102" t="s">
        <v>682</v>
      </c>
      <c r="AW12" s="100">
        <v>1.0</v>
      </c>
      <c r="AX12" s="100">
        <v>1.0</v>
      </c>
      <c r="AY12" s="102" t="s">
        <v>616</v>
      </c>
      <c r="AZ12" s="100">
        <v>1.0</v>
      </c>
      <c r="BA12" s="100">
        <v>0.0</v>
      </c>
      <c r="BB12" s="102"/>
      <c r="BC12" s="100">
        <v>1.0</v>
      </c>
      <c r="BD12" s="100">
        <v>1.0</v>
      </c>
      <c r="BE12" s="102" t="s">
        <v>724</v>
      </c>
      <c r="BF12" s="100">
        <v>3.0</v>
      </c>
      <c r="BG12" s="100">
        <v>1.0</v>
      </c>
      <c r="BH12" s="102" t="s">
        <v>618</v>
      </c>
      <c r="BI12" s="100">
        <v>1.0</v>
      </c>
      <c r="BJ12" s="100">
        <v>1.0</v>
      </c>
      <c r="BK12" s="102" t="s">
        <v>713</v>
      </c>
      <c r="BL12" s="100">
        <v>2.0</v>
      </c>
      <c r="BM12" s="100">
        <v>1.0</v>
      </c>
      <c r="BN12" s="102" t="s">
        <v>653</v>
      </c>
      <c r="BO12" s="100">
        <v>1.0</v>
      </c>
      <c r="BP12" s="100">
        <v>1.0</v>
      </c>
      <c r="BQ12" s="102" t="s">
        <v>619</v>
      </c>
      <c r="BR12" s="100">
        <v>2.0</v>
      </c>
      <c r="BS12" s="100">
        <v>0.0</v>
      </c>
      <c r="BT12" s="102"/>
      <c r="BU12" s="6" t="s">
        <v>463</v>
      </c>
      <c r="BV12" s="6" t="s">
        <v>464</v>
      </c>
      <c r="BW12" s="6" t="s">
        <v>465</v>
      </c>
      <c r="BX12" s="6" t="s">
        <v>466</v>
      </c>
    </row>
    <row r="13">
      <c r="A13" s="6" t="s">
        <v>124</v>
      </c>
      <c r="B13" s="35" t="str">
        <f>IFERROR(
"DOM  M["&amp;VLOOKUP($A14,Projetos!$A:$L,4,FALSE)&amp;"] S["&amp;VLOOKUP($A14,Projetos!$A:$L,5,FALSE)&amp;"] C["&amp;VLOOKUP($A14,Projetos!$A:$L,6,FALSE)&amp;"]"&amp;CHAR(10)&amp;
"ECO  M["&amp;VLOOKUP($A14,Projetos!$A:$L,7,FALSE)&amp;"] S["&amp;VLOOKUP($A14,Projetos!$A:$L,8,FALSE)&amp;"] C["&amp;VLOOKUP($A14,Projetos!$A:$L,9,FALSE)&amp;"]"&amp;CHAR(10)&amp;
"LING M["&amp;VLOOKUP($A14,Projetos!$A:$L,10,FALSE)&amp;"] S["&amp;VLOOKUP($A14,Projetos!$A:$L,11,FALSE)&amp;"] C["&amp;VLOOKUP($A14,Projetos!$A:$L,12,FALSE)&amp;"]"
,"")
</f>
        <v>DOM  M[IoT, Cloud] S[Web] C[Desktop]
ECO  M[AWS Lambda] S[React, Angular, MongoDB] C[Android]
LING M[Python, C++] S[JavaScript] C[Java, TypeScript]</v>
      </c>
      <c r="C13" s="6" t="s">
        <v>318</v>
      </c>
      <c r="D13" s="6" t="s">
        <v>636</v>
      </c>
      <c r="E13" s="97">
        <v>0.10468</v>
      </c>
      <c r="F13" s="97">
        <v>0.1</v>
      </c>
      <c r="G13" s="99" t="s">
        <v>635</v>
      </c>
      <c r="H13" s="6" t="s">
        <v>702</v>
      </c>
      <c r="I13" s="6" t="s">
        <v>589</v>
      </c>
      <c r="J13" s="6" t="s">
        <v>588</v>
      </c>
      <c r="K13" s="6" t="s">
        <v>588</v>
      </c>
      <c r="L13" s="6" t="s">
        <v>721</v>
      </c>
      <c r="M13" s="6" t="s">
        <v>589</v>
      </c>
      <c r="N13" s="6" t="s">
        <v>702</v>
      </c>
      <c r="O13" s="6" t="s">
        <v>589</v>
      </c>
      <c r="P13" s="6" t="s">
        <v>586</v>
      </c>
      <c r="Q13" s="6" t="b">
        <v>0</v>
      </c>
      <c r="R13" s="6" t="s">
        <v>729</v>
      </c>
      <c r="S13" s="6">
        <v>5.0</v>
      </c>
      <c r="T13" s="105">
        <v>4.0</v>
      </c>
      <c r="U13" s="101">
        <v>0.105002</v>
      </c>
      <c r="V13" s="100">
        <v>2.0</v>
      </c>
      <c r="W13" s="100">
        <v>0.10468</v>
      </c>
      <c r="X13" s="100">
        <v>0.1</v>
      </c>
      <c r="Y13" s="102" t="s">
        <v>641</v>
      </c>
      <c r="Z13" s="102" t="s">
        <v>642</v>
      </c>
      <c r="AA13" s="102" t="s">
        <v>635</v>
      </c>
      <c r="AB13" s="100">
        <v>0.1</v>
      </c>
      <c r="AC13" s="102" t="s">
        <v>613</v>
      </c>
      <c r="AD13" s="102" t="s">
        <v>613</v>
      </c>
      <c r="AE13" s="102" t="s">
        <v>613</v>
      </c>
      <c r="AF13" s="102" t="s">
        <v>613</v>
      </c>
      <c r="AG13" s="100">
        <v>0.0</v>
      </c>
      <c r="AH13" s="100">
        <v>0.0</v>
      </c>
      <c r="AI13" s="100">
        <v>0.0</v>
      </c>
      <c r="AJ13" s="100">
        <v>3.8924</v>
      </c>
      <c r="AK13" s="100">
        <v>0.034998</v>
      </c>
      <c r="AL13" s="100">
        <v>4.3E-5</v>
      </c>
      <c r="AM13" s="100">
        <v>7.2E-5</v>
      </c>
      <c r="AN13" s="100">
        <v>0.011745</v>
      </c>
      <c r="AO13" s="100">
        <v>0.011013</v>
      </c>
      <c r="AP13" s="100">
        <v>0.022758</v>
      </c>
      <c r="AQ13" s="100">
        <v>0.138618</v>
      </c>
      <c r="AR13" s="100">
        <v>0.404901</v>
      </c>
      <c r="AS13" s="100">
        <v>4.297301</v>
      </c>
      <c r="AT13" s="100">
        <v>2.0</v>
      </c>
      <c r="AU13" s="100">
        <v>0.0</v>
      </c>
      <c r="AV13" s="102"/>
      <c r="AW13" s="100">
        <v>1.0</v>
      </c>
      <c r="AX13" s="100">
        <v>1.0</v>
      </c>
      <c r="AY13" s="102" t="s">
        <v>616</v>
      </c>
      <c r="AZ13" s="100">
        <v>1.0</v>
      </c>
      <c r="BA13" s="100">
        <v>0.0</v>
      </c>
      <c r="BB13" s="102"/>
      <c r="BC13" s="100">
        <v>1.0</v>
      </c>
      <c r="BD13" s="100">
        <v>0.0</v>
      </c>
      <c r="BE13" s="102"/>
      <c r="BF13" s="100">
        <v>3.0</v>
      </c>
      <c r="BG13" s="100">
        <v>1.0</v>
      </c>
      <c r="BH13" s="102" t="s">
        <v>618</v>
      </c>
      <c r="BI13" s="100">
        <v>1.0</v>
      </c>
      <c r="BJ13" s="100">
        <v>1.0</v>
      </c>
      <c r="BK13" s="102" t="s">
        <v>713</v>
      </c>
      <c r="BL13" s="100">
        <v>2.0</v>
      </c>
      <c r="BM13" s="100">
        <v>0.0</v>
      </c>
      <c r="BN13" s="102"/>
      <c r="BO13" s="100">
        <v>1.0</v>
      </c>
      <c r="BP13" s="100">
        <v>1.0</v>
      </c>
      <c r="BQ13" s="102" t="s">
        <v>619</v>
      </c>
      <c r="BR13" s="100">
        <v>2.0</v>
      </c>
      <c r="BS13" s="100">
        <v>1.0</v>
      </c>
      <c r="BT13" s="102" t="s">
        <v>705</v>
      </c>
      <c r="BU13" s="6" t="s">
        <v>468</v>
      </c>
      <c r="BV13" s="6" t="s">
        <v>469</v>
      </c>
      <c r="BW13" s="6" t="s">
        <v>470</v>
      </c>
      <c r="BX13" s="6" t="s">
        <v>471</v>
      </c>
    </row>
    <row r="14">
      <c r="A14" s="6" t="s">
        <v>124</v>
      </c>
      <c r="C14" s="6" t="s">
        <v>322</v>
      </c>
      <c r="D14" s="6" t="s">
        <v>639</v>
      </c>
      <c r="E14" s="97">
        <v>0.10468</v>
      </c>
      <c r="F14" s="97">
        <v>0.1</v>
      </c>
      <c r="G14" s="99" t="s">
        <v>635</v>
      </c>
      <c r="H14" s="6" t="s">
        <v>702</v>
      </c>
      <c r="I14" s="6" t="s">
        <v>589</v>
      </c>
      <c r="J14" s="6" t="s">
        <v>589</v>
      </c>
      <c r="K14" s="6" t="s">
        <v>588</v>
      </c>
      <c r="L14" s="6" t="s">
        <v>721</v>
      </c>
      <c r="M14" s="6" t="s">
        <v>588</v>
      </c>
      <c r="N14" s="6" t="s">
        <v>702</v>
      </c>
      <c r="O14" s="6" t="s">
        <v>589</v>
      </c>
      <c r="P14" s="6" t="s">
        <v>702</v>
      </c>
      <c r="Q14" s="6" t="b">
        <v>0</v>
      </c>
      <c r="R14" s="6" t="s">
        <v>729</v>
      </c>
      <c r="S14" s="6">
        <v>5.0</v>
      </c>
      <c r="T14" s="100">
        <v>3.0</v>
      </c>
      <c r="U14" s="101">
        <v>0.105002</v>
      </c>
      <c r="V14" s="100">
        <v>3.0</v>
      </c>
      <c r="W14" s="100">
        <v>0.10468</v>
      </c>
      <c r="X14" s="100">
        <v>0.1</v>
      </c>
      <c r="Y14" s="102" t="s">
        <v>641</v>
      </c>
      <c r="Z14" s="102" t="s">
        <v>642</v>
      </c>
      <c r="AA14" s="102" t="s">
        <v>635</v>
      </c>
      <c r="AB14" s="100">
        <v>0.1</v>
      </c>
      <c r="AC14" s="102" t="s">
        <v>613</v>
      </c>
      <c r="AD14" s="102" t="s">
        <v>613</v>
      </c>
      <c r="AE14" s="102" t="s">
        <v>613</v>
      </c>
      <c r="AF14" s="102" t="s">
        <v>613</v>
      </c>
      <c r="AG14" s="100">
        <v>0.0</v>
      </c>
      <c r="AH14" s="100">
        <v>0.0</v>
      </c>
      <c r="AI14" s="100">
        <v>0.0</v>
      </c>
      <c r="AJ14" s="100">
        <v>3.8924</v>
      </c>
      <c r="AK14" s="100">
        <v>0.053198</v>
      </c>
      <c r="AL14" s="100">
        <v>2.0E-5</v>
      </c>
      <c r="AM14" s="100">
        <v>4.0E-5</v>
      </c>
      <c r="AN14" s="100">
        <v>0.043255</v>
      </c>
      <c r="AO14" s="100">
        <v>0.013687</v>
      </c>
      <c r="AP14" s="100">
        <v>0.056941</v>
      </c>
      <c r="AQ14" s="100">
        <v>0.119364</v>
      </c>
      <c r="AR14" s="100">
        <v>0.404901</v>
      </c>
      <c r="AS14" s="100">
        <v>4.297301</v>
      </c>
      <c r="AT14" s="100">
        <v>2.0</v>
      </c>
      <c r="AU14" s="100">
        <v>0.0</v>
      </c>
      <c r="AV14" s="102"/>
      <c r="AW14" s="100">
        <v>1.0</v>
      </c>
      <c r="AX14" s="100">
        <v>1.0</v>
      </c>
      <c r="AY14" s="102" t="s">
        <v>616</v>
      </c>
      <c r="AZ14" s="100">
        <v>1.0</v>
      </c>
      <c r="BA14" s="100">
        <v>1.0</v>
      </c>
      <c r="BB14" s="102" t="s">
        <v>730</v>
      </c>
      <c r="BC14" s="100">
        <v>1.0</v>
      </c>
      <c r="BD14" s="100">
        <v>0.0</v>
      </c>
      <c r="BE14" s="102"/>
      <c r="BF14" s="100">
        <v>3.0</v>
      </c>
      <c r="BG14" s="100">
        <v>1.0</v>
      </c>
      <c r="BH14" s="102" t="s">
        <v>618</v>
      </c>
      <c r="BI14" s="100">
        <v>1.0</v>
      </c>
      <c r="BJ14" s="100">
        <v>0.0</v>
      </c>
      <c r="BK14" s="102"/>
      <c r="BL14" s="100">
        <v>2.0</v>
      </c>
      <c r="BM14" s="100">
        <v>1.0</v>
      </c>
      <c r="BN14" s="102" t="s">
        <v>731</v>
      </c>
      <c r="BO14" s="100">
        <v>1.0</v>
      </c>
      <c r="BP14" s="100">
        <v>1.0</v>
      </c>
      <c r="BQ14" s="102" t="s">
        <v>619</v>
      </c>
      <c r="BR14" s="100">
        <v>2.0</v>
      </c>
      <c r="BS14" s="100">
        <v>0.0</v>
      </c>
      <c r="BT14" s="102"/>
      <c r="BU14" s="6" t="s">
        <v>473</v>
      </c>
      <c r="BV14" s="6" t="s">
        <v>474</v>
      </c>
      <c r="BW14" s="6" t="s">
        <v>475</v>
      </c>
      <c r="BX14" s="6" t="s">
        <v>476</v>
      </c>
    </row>
    <row r="15">
      <c r="A15" s="6" t="s">
        <v>124</v>
      </c>
      <c r="C15" s="6" t="s">
        <v>325</v>
      </c>
      <c r="D15" s="6" t="s">
        <v>643</v>
      </c>
      <c r="E15" s="97">
        <v>0.10468</v>
      </c>
      <c r="F15" s="97">
        <v>0.1</v>
      </c>
      <c r="G15" s="99" t="s">
        <v>635</v>
      </c>
      <c r="H15" s="6" t="s">
        <v>702</v>
      </c>
      <c r="I15" s="6" t="s">
        <v>589</v>
      </c>
      <c r="J15" s="6" t="s">
        <v>588</v>
      </c>
      <c r="K15" s="6" t="s">
        <v>588</v>
      </c>
      <c r="L15" s="6" t="s">
        <v>721</v>
      </c>
      <c r="M15" s="6" t="s">
        <v>588</v>
      </c>
      <c r="N15" s="6" t="s">
        <v>702</v>
      </c>
      <c r="O15" s="6" t="s">
        <v>589</v>
      </c>
      <c r="P15" s="6" t="s">
        <v>586</v>
      </c>
      <c r="Q15" s="6" t="b">
        <v>0</v>
      </c>
      <c r="R15" s="6" t="s">
        <v>729</v>
      </c>
      <c r="S15" s="6">
        <v>5.0</v>
      </c>
      <c r="T15" s="100">
        <v>1.0</v>
      </c>
      <c r="U15" s="101">
        <v>0.105002</v>
      </c>
      <c r="V15" s="100">
        <v>4.0</v>
      </c>
      <c r="W15" s="100">
        <v>0.10468</v>
      </c>
      <c r="X15" s="100">
        <v>0.1</v>
      </c>
      <c r="Y15" s="102" t="s">
        <v>641</v>
      </c>
      <c r="Z15" s="102" t="s">
        <v>642</v>
      </c>
      <c r="AA15" s="102" t="s">
        <v>635</v>
      </c>
      <c r="AB15" s="100">
        <v>0.1</v>
      </c>
      <c r="AC15" s="102" t="s">
        <v>613</v>
      </c>
      <c r="AD15" s="102" t="s">
        <v>613</v>
      </c>
      <c r="AE15" s="102" t="s">
        <v>613</v>
      </c>
      <c r="AF15" s="102" t="s">
        <v>613</v>
      </c>
      <c r="AG15" s="100">
        <v>0.0</v>
      </c>
      <c r="AH15" s="100">
        <v>0.0</v>
      </c>
      <c r="AI15" s="100">
        <v>0.0</v>
      </c>
      <c r="AJ15" s="100">
        <v>3.8924</v>
      </c>
      <c r="AK15" s="100">
        <v>0.010359</v>
      </c>
      <c r="AL15" s="100">
        <v>2.5E-5</v>
      </c>
      <c r="AM15" s="100">
        <v>5.5E-5</v>
      </c>
      <c r="AN15" s="100">
        <v>0.012235</v>
      </c>
      <c r="AO15" s="100">
        <v>0.015545</v>
      </c>
      <c r="AP15" s="100">
        <v>0.02778</v>
      </c>
      <c r="AQ15" s="100">
        <v>0.05062</v>
      </c>
      <c r="AR15" s="100">
        <v>0.404901</v>
      </c>
      <c r="AS15" s="100">
        <v>4.297301</v>
      </c>
      <c r="AT15" s="100">
        <v>2.0</v>
      </c>
      <c r="AU15" s="100">
        <v>0.0</v>
      </c>
      <c r="AV15" s="102"/>
      <c r="AW15" s="100">
        <v>1.0</v>
      </c>
      <c r="AX15" s="100">
        <v>1.0</v>
      </c>
      <c r="AY15" s="102" t="s">
        <v>616</v>
      </c>
      <c r="AZ15" s="100">
        <v>1.0</v>
      </c>
      <c r="BA15" s="100">
        <v>0.0</v>
      </c>
      <c r="BB15" s="102"/>
      <c r="BC15" s="100">
        <v>1.0</v>
      </c>
      <c r="BD15" s="100">
        <v>0.0</v>
      </c>
      <c r="BE15" s="102"/>
      <c r="BF15" s="100">
        <v>3.0</v>
      </c>
      <c r="BG15" s="100">
        <v>1.0</v>
      </c>
      <c r="BH15" s="102" t="s">
        <v>618</v>
      </c>
      <c r="BI15" s="100">
        <v>1.0</v>
      </c>
      <c r="BJ15" s="100">
        <v>0.0</v>
      </c>
      <c r="BK15" s="102"/>
      <c r="BL15" s="100">
        <v>2.0</v>
      </c>
      <c r="BM15" s="100">
        <v>0.0</v>
      </c>
      <c r="BN15" s="102"/>
      <c r="BO15" s="100">
        <v>1.0</v>
      </c>
      <c r="BP15" s="100">
        <v>1.0</v>
      </c>
      <c r="BQ15" s="102" t="s">
        <v>619</v>
      </c>
      <c r="BR15" s="100">
        <v>2.0</v>
      </c>
      <c r="BS15" s="100">
        <v>1.0</v>
      </c>
      <c r="BT15" s="102" t="s">
        <v>705</v>
      </c>
      <c r="BU15" s="6" t="s">
        <v>478</v>
      </c>
      <c r="BV15" s="6" t="s">
        <v>479</v>
      </c>
      <c r="BW15" s="6" t="s">
        <v>480</v>
      </c>
      <c r="BX15" s="6" t="s">
        <v>481</v>
      </c>
    </row>
    <row r="16">
      <c r="A16" s="6" t="s">
        <v>124</v>
      </c>
      <c r="B16" s="35"/>
      <c r="C16" s="6" t="s">
        <v>329</v>
      </c>
      <c r="D16" s="6" t="s">
        <v>644</v>
      </c>
      <c r="E16" s="97">
        <v>0.10468</v>
      </c>
      <c r="F16" s="97">
        <v>0.1</v>
      </c>
      <c r="G16" s="99" t="s">
        <v>635</v>
      </c>
      <c r="H16" s="6" t="s">
        <v>702</v>
      </c>
      <c r="I16" s="6" t="s">
        <v>589</v>
      </c>
      <c r="J16" s="6" t="s">
        <v>588</v>
      </c>
      <c r="K16" s="6" t="s">
        <v>588</v>
      </c>
      <c r="L16" s="6" t="s">
        <v>721</v>
      </c>
      <c r="M16" s="6" t="s">
        <v>588</v>
      </c>
      <c r="N16" s="6" t="s">
        <v>702</v>
      </c>
      <c r="O16" s="6" t="s">
        <v>589</v>
      </c>
      <c r="P16" s="6" t="s">
        <v>702</v>
      </c>
      <c r="Q16" s="6" t="b">
        <v>0</v>
      </c>
      <c r="R16" s="6" t="s">
        <v>729</v>
      </c>
      <c r="S16" s="6">
        <v>5.0</v>
      </c>
      <c r="T16" s="105">
        <v>4.0</v>
      </c>
      <c r="U16" s="101">
        <v>0.105002</v>
      </c>
      <c r="V16" s="100">
        <v>5.0</v>
      </c>
      <c r="W16" s="100">
        <v>0.10468</v>
      </c>
      <c r="X16" s="100">
        <v>0.1</v>
      </c>
      <c r="Y16" s="102" t="s">
        <v>641</v>
      </c>
      <c r="Z16" s="102" t="s">
        <v>642</v>
      </c>
      <c r="AA16" s="102" t="s">
        <v>635</v>
      </c>
      <c r="AB16" s="100">
        <v>0.1</v>
      </c>
      <c r="AC16" s="102" t="s">
        <v>613</v>
      </c>
      <c r="AD16" s="102" t="s">
        <v>613</v>
      </c>
      <c r="AE16" s="102" t="s">
        <v>613</v>
      </c>
      <c r="AF16" s="102" t="s">
        <v>613</v>
      </c>
      <c r="AG16" s="100">
        <v>0.0</v>
      </c>
      <c r="AH16" s="100">
        <v>0.0</v>
      </c>
      <c r="AI16" s="100">
        <v>0.0</v>
      </c>
      <c r="AJ16" s="100">
        <v>3.8924</v>
      </c>
      <c r="AK16" s="100">
        <v>0.007969</v>
      </c>
      <c r="AL16" s="100">
        <v>2.8E-5</v>
      </c>
      <c r="AM16" s="100">
        <v>5.8E-5</v>
      </c>
      <c r="AN16" s="100">
        <v>0.013142</v>
      </c>
      <c r="AO16" s="100">
        <v>0.013101</v>
      </c>
      <c r="AP16" s="100">
        <v>0.026243</v>
      </c>
      <c r="AQ16" s="100">
        <v>0.047717</v>
      </c>
      <c r="AR16" s="100">
        <v>0.404901</v>
      </c>
      <c r="AS16" s="100">
        <v>4.297301</v>
      </c>
      <c r="AT16" s="100">
        <v>2.0</v>
      </c>
      <c r="AU16" s="100">
        <v>0.0</v>
      </c>
      <c r="AV16" s="102"/>
      <c r="AW16" s="100">
        <v>1.0</v>
      </c>
      <c r="AX16" s="100">
        <v>1.0</v>
      </c>
      <c r="AY16" s="102" t="s">
        <v>616</v>
      </c>
      <c r="AZ16" s="100">
        <v>1.0</v>
      </c>
      <c r="BA16" s="100">
        <v>0.0</v>
      </c>
      <c r="BB16" s="102"/>
      <c r="BC16" s="100">
        <v>1.0</v>
      </c>
      <c r="BD16" s="100">
        <v>0.0</v>
      </c>
      <c r="BE16" s="102"/>
      <c r="BF16" s="100">
        <v>3.0</v>
      </c>
      <c r="BG16" s="100">
        <v>1.0</v>
      </c>
      <c r="BH16" s="102" t="s">
        <v>618</v>
      </c>
      <c r="BI16" s="100">
        <v>1.0</v>
      </c>
      <c r="BJ16" s="100">
        <v>0.0</v>
      </c>
      <c r="BK16" s="102"/>
      <c r="BL16" s="100">
        <v>2.0</v>
      </c>
      <c r="BM16" s="100">
        <v>0.0</v>
      </c>
      <c r="BN16" s="102"/>
      <c r="BO16" s="100">
        <v>1.0</v>
      </c>
      <c r="BP16" s="100">
        <v>1.0</v>
      </c>
      <c r="BQ16" s="102" t="s">
        <v>619</v>
      </c>
      <c r="BR16" s="100">
        <v>2.0</v>
      </c>
      <c r="BS16" s="100">
        <v>0.0</v>
      </c>
      <c r="BT16" s="102"/>
      <c r="BU16" s="6" t="s">
        <v>483</v>
      </c>
      <c r="BV16" s="6" t="s">
        <v>484</v>
      </c>
      <c r="BW16" s="6" t="s">
        <v>485</v>
      </c>
      <c r="BX16" s="6" t="s">
        <v>486</v>
      </c>
    </row>
    <row r="17">
      <c r="A17" s="6" t="s">
        <v>134</v>
      </c>
      <c r="B17" s="29" t="str">
        <f>IFERROR(VLOOKUP(A20,Projetos!$A$2:$C$7,2,FALSE),"")
</f>
        <v>Web Analytic Reports SaaS</v>
      </c>
      <c r="C17" s="6" t="s">
        <v>340</v>
      </c>
      <c r="D17" s="6" t="s">
        <v>645</v>
      </c>
      <c r="E17" s="97">
        <v>0.699957</v>
      </c>
      <c r="F17" s="97">
        <v>0.1</v>
      </c>
      <c r="G17" s="99" t="s">
        <v>733</v>
      </c>
      <c r="H17" s="6" t="s">
        <v>589</v>
      </c>
      <c r="I17" s="6" t="s">
        <v>588</v>
      </c>
      <c r="J17" s="6" t="s">
        <v>589</v>
      </c>
      <c r="K17" s="6" t="s">
        <v>588</v>
      </c>
      <c r="L17" s="6" t="s">
        <v>702</v>
      </c>
      <c r="M17" s="6" t="s">
        <v>588</v>
      </c>
      <c r="N17" s="6" t="s">
        <v>589</v>
      </c>
      <c r="O17" s="6" t="s">
        <v>702</v>
      </c>
      <c r="P17" s="6" t="s">
        <v>586</v>
      </c>
      <c r="Q17" s="6" t="b">
        <v>0</v>
      </c>
      <c r="R17" s="6" t="s">
        <v>734</v>
      </c>
      <c r="S17" s="6">
        <v>1.0</v>
      </c>
      <c r="T17" s="100">
        <v>2.0</v>
      </c>
      <c r="U17" s="101">
        <v>0.200105</v>
      </c>
      <c r="V17" s="100">
        <v>5.0</v>
      </c>
      <c r="W17" s="100">
        <v>0.699957</v>
      </c>
      <c r="X17" s="100">
        <v>0.1</v>
      </c>
      <c r="Y17" s="102" t="s">
        <v>735</v>
      </c>
      <c r="Z17" s="102" t="s">
        <v>642</v>
      </c>
      <c r="AA17" s="102" t="s">
        <v>733</v>
      </c>
      <c r="AB17" s="100">
        <v>0.1</v>
      </c>
      <c r="AC17" s="102" t="s">
        <v>613</v>
      </c>
      <c r="AD17" s="102" t="s">
        <v>679</v>
      </c>
      <c r="AE17" s="102" t="s">
        <v>613</v>
      </c>
      <c r="AF17" s="102" t="s">
        <v>677</v>
      </c>
      <c r="AG17" s="100">
        <v>1.0</v>
      </c>
      <c r="AH17" s="100">
        <v>0.0</v>
      </c>
      <c r="AI17" s="100">
        <v>0.75</v>
      </c>
      <c r="AJ17" s="100">
        <v>3.8924</v>
      </c>
      <c r="AK17" s="100">
        <v>0.004635</v>
      </c>
      <c r="AL17" s="100">
        <v>2.1E-5</v>
      </c>
      <c r="AM17" s="100">
        <v>4.1E-5</v>
      </c>
      <c r="AN17" s="100">
        <v>0.010396</v>
      </c>
      <c r="AO17" s="100">
        <v>0.011628</v>
      </c>
      <c r="AP17" s="100">
        <v>0.022024</v>
      </c>
      <c r="AQ17" s="100">
        <v>0.042341</v>
      </c>
      <c r="AR17" s="100">
        <v>0.271404</v>
      </c>
      <c r="AS17" s="100">
        <v>4.163804</v>
      </c>
      <c r="AT17" s="100">
        <v>1.0</v>
      </c>
      <c r="AU17" s="100">
        <v>1.0</v>
      </c>
      <c r="AV17" s="102" t="s">
        <v>616</v>
      </c>
      <c r="AW17" s="100">
        <v>1.0</v>
      </c>
      <c r="AX17" s="100">
        <v>0.0</v>
      </c>
      <c r="AY17" s="102"/>
      <c r="AZ17" s="100">
        <v>1.0</v>
      </c>
      <c r="BA17" s="100">
        <v>1.0</v>
      </c>
      <c r="BB17" s="102" t="s">
        <v>730</v>
      </c>
      <c r="BC17" s="100">
        <v>1.0</v>
      </c>
      <c r="BD17" s="100">
        <v>0.0</v>
      </c>
      <c r="BE17" s="102"/>
      <c r="BF17" s="100">
        <v>2.0</v>
      </c>
      <c r="BG17" s="100">
        <v>0.0</v>
      </c>
      <c r="BH17" s="102"/>
      <c r="BI17" s="100">
        <v>1.0</v>
      </c>
      <c r="BJ17" s="100">
        <v>0.0</v>
      </c>
      <c r="BK17" s="102"/>
      <c r="BL17" s="100">
        <v>1.0</v>
      </c>
      <c r="BM17" s="100">
        <v>1.0</v>
      </c>
      <c r="BN17" s="102" t="s">
        <v>619</v>
      </c>
      <c r="BO17" s="100">
        <v>2.0</v>
      </c>
      <c r="BP17" s="100">
        <v>0.0</v>
      </c>
      <c r="BQ17" s="102"/>
      <c r="BR17" s="100">
        <v>2.0</v>
      </c>
      <c r="BS17" s="100">
        <v>1.0</v>
      </c>
      <c r="BT17" s="102" t="s">
        <v>684</v>
      </c>
      <c r="BU17" s="6" t="s">
        <v>488</v>
      </c>
      <c r="BV17" s="6" t="s">
        <v>489</v>
      </c>
      <c r="BW17" s="6" t="s">
        <v>490</v>
      </c>
      <c r="BX17" s="6" t="s">
        <v>491</v>
      </c>
    </row>
    <row r="18">
      <c r="A18" s="6" t="s">
        <v>134</v>
      </c>
      <c r="B18" s="35" t="str">
        <f>IFERROR(
"DOM  M["&amp;VLOOKUP($A20,Projetos!$A:$L,4,FALSE)&amp;"] S["&amp;VLOOKUP($A20,Projetos!$A:$L,5,FALSE)&amp;"] C["&amp;VLOOKUP($A20,Projetos!$A:$L,6,FALSE)&amp;"]"&amp;CHAR(10)&amp;
"ECO  M["&amp;VLOOKUP($A20,Projetos!$A:$L,7,FALSE)&amp;"] S["&amp;VLOOKUP($A20,Projetos!$A:$L,8,FALSE)&amp;"] C["&amp;VLOOKUP($A20,Projetos!$A:$L,9,FALSE)&amp;"]"&amp;CHAR(10)&amp;
"LING M["&amp;VLOOKUP($A20,Projetos!$A:$L,10,FALSE)&amp;"] S["&amp;VLOOKUP($A20,Projetos!$A:$L,11,FALSE)&amp;"] C["&amp;VLOOKUP($A20,Projetos!$A:$L,12,FALSE)&amp;"]"
,"")
</f>
        <v>DOM  M[Web] S[Cloud] C[Desktop]
ECO  M[MongoDB] S[Angular, React] C[AWS Lambda]
LING M[JavaScript] S[TypeScript, Python] C[Java, C#]</v>
      </c>
      <c r="C18" s="6" t="s">
        <v>356</v>
      </c>
      <c r="D18" s="6" t="s">
        <v>646</v>
      </c>
      <c r="E18" s="97">
        <v>0.473708</v>
      </c>
      <c r="F18" s="97">
        <v>0.3</v>
      </c>
      <c r="G18" s="99" t="s">
        <v>740</v>
      </c>
      <c r="H18" s="6" t="s">
        <v>589</v>
      </c>
      <c r="I18" s="6" t="s">
        <v>588</v>
      </c>
      <c r="J18" s="6" t="s">
        <v>588</v>
      </c>
      <c r="K18" s="6" t="s">
        <v>588</v>
      </c>
      <c r="L18" s="6" t="s">
        <v>586</v>
      </c>
      <c r="M18" s="6" t="s">
        <v>588</v>
      </c>
      <c r="N18" s="6" t="s">
        <v>589</v>
      </c>
      <c r="O18" s="6" t="s">
        <v>702</v>
      </c>
      <c r="P18" s="6" t="s">
        <v>702</v>
      </c>
      <c r="Q18" s="6" t="b">
        <v>0</v>
      </c>
      <c r="R18" s="6" t="s">
        <v>734</v>
      </c>
      <c r="S18" s="6">
        <v>1.0</v>
      </c>
      <c r="T18" s="100">
        <v>3.0</v>
      </c>
      <c r="U18" s="101">
        <v>0.315433</v>
      </c>
      <c r="V18" s="100">
        <v>2.0</v>
      </c>
      <c r="W18" s="100">
        <v>0.473708</v>
      </c>
      <c r="X18" s="100">
        <v>0.3</v>
      </c>
      <c r="Y18" s="102" t="s">
        <v>741</v>
      </c>
      <c r="Z18" s="102" t="s">
        <v>607</v>
      </c>
      <c r="AA18" s="102" t="s">
        <v>740</v>
      </c>
      <c r="AB18" s="100">
        <v>0.3</v>
      </c>
      <c r="AC18" s="102" t="s">
        <v>610</v>
      </c>
      <c r="AD18" s="102" t="s">
        <v>678</v>
      </c>
      <c r="AE18" s="102" t="s">
        <v>613</v>
      </c>
      <c r="AF18" s="102" t="s">
        <v>678</v>
      </c>
      <c r="AG18" s="100">
        <v>0.5</v>
      </c>
      <c r="AH18" s="100">
        <v>0.0</v>
      </c>
      <c r="AI18" s="100">
        <v>0.5</v>
      </c>
      <c r="AJ18" s="100">
        <v>3.8924</v>
      </c>
      <c r="AK18" s="100">
        <v>0.006617</v>
      </c>
      <c r="AL18" s="100">
        <v>2.1E-5</v>
      </c>
      <c r="AM18" s="100">
        <v>4.0E-5</v>
      </c>
      <c r="AN18" s="100">
        <v>0.015479</v>
      </c>
      <c r="AO18" s="100">
        <v>0.013685</v>
      </c>
      <c r="AP18" s="100">
        <v>0.029164</v>
      </c>
      <c r="AQ18" s="100">
        <v>0.047597</v>
      </c>
      <c r="AR18" s="100">
        <v>0.271404</v>
      </c>
      <c r="AS18" s="100">
        <v>4.163804</v>
      </c>
      <c r="AT18" s="100">
        <v>1.0</v>
      </c>
      <c r="AU18" s="100">
        <v>1.0</v>
      </c>
      <c r="AV18" s="102" t="s">
        <v>616</v>
      </c>
      <c r="AW18" s="100">
        <v>1.0</v>
      </c>
      <c r="AX18" s="100">
        <v>0.0</v>
      </c>
      <c r="AY18" s="102"/>
      <c r="AZ18" s="100">
        <v>1.0</v>
      </c>
      <c r="BA18" s="100">
        <v>0.0</v>
      </c>
      <c r="BB18" s="102"/>
      <c r="BC18" s="100">
        <v>1.0</v>
      </c>
      <c r="BD18" s="100">
        <v>0.0</v>
      </c>
      <c r="BE18" s="102"/>
      <c r="BF18" s="100">
        <v>2.0</v>
      </c>
      <c r="BG18" s="100">
        <v>1.0</v>
      </c>
      <c r="BH18" s="102" t="s">
        <v>618</v>
      </c>
      <c r="BI18" s="100">
        <v>1.0</v>
      </c>
      <c r="BJ18" s="100">
        <v>0.0</v>
      </c>
      <c r="BK18" s="102"/>
      <c r="BL18" s="100">
        <v>1.0</v>
      </c>
      <c r="BM18" s="100">
        <v>1.0</v>
      </c>
      <c r="BN18" s="102" t="s">
        <v>619</v>
      </c>
      <c r="BO18" s="100">
        <v>2.0</v>
      </c>
      <c r="BP18" s="100">
        <v>0.0</v>
      </c>
      <c r="BQ18" s="102"/>
      <c r="BR18" s="100">
        <v>2.0</v>
      </c>
      <c r="BS18" s="100">
        <v>0.0</v>
      </c>
      <c r="BT18" s="102"/>
      <c r="BU18" s="6" t="s">
        <v>509</v>
      </c>
      <c r="BV18" s="6" t="s">
        <v>510</v>
      </c>
      <c r="BW18" s="6" t="s">
        <v>513</v>
      </c>
      <c r="BX18" s="6" t="s">
        <v>514</v>
      </c>
    </row>
    <row r="19">
      <c r="A19" s="6" t="s">
        <v>134</v>
      </c>
      <c r="C19" s="6" t="s">
        <v>363</v>
      </c>
      <c r="D19" s="6" t="s">
        <v>647</v>
      </c>
      <c r="E19" s="97">
        <v>0.489593</v>
      </c>
      <c r="F19" s="97">
        <v>0.5</v>
      </c>
      <c r="G19" s="99" t="s">
        <v>742</v>
      </c>
      <c r="H19" s="6" t="s">
        <v>589</v>
      </c>
      <c r="I19" s="6" t="s">
        <v>589</v>
      </c>
      <c r="J19" s="6" t="s">
        <v>588</v>
      </c>
      <c r="K19" s="6" t="s">
        <v>588</v>
      </c>
      <c r="L19" s="6" t="s">
        <v>586</v>
      </c>
      <c r="M19" s="6" t="s">
        <v>589</v>
      </c>
      <c r="N19" s="6" t="s">
        <v>589</v>
      </c>
      <c r="O19" s="6" t="s">
        <v>586</v>
      </c>
      <c r="P19" s="6" t="s">
        <v>586</v>
      </c>
      <c r="Q19" s="6" t="b">
        <v>0</v>
      </c>
      <c r="R19" s="6" t="s">
        <v>734</v>
      </c>
      <c r="S19" s="6">
        <v>1.0</v>
      </c>
      <c r="T19" s="105">
        <v>1.0</v>
      </c>
      <c r="U19" s="101">
        <v>0.489285</v>
      </c>
      <c r="V19" s="100">
        <v>1.0</v>
      </c>
      <c r="W19" s="100">
        <v>0.489593</v>
      </c>
      <c r="X19" s="100">
        <v>0.5</v>
      </c>
      <c r="Y19" s="102" t="s">
        <v>743</v>
      </c>
      <c r="Z19" s="102" t="s">
        <v>694</v>
      </c>
      <c r="AA19" s="102" t="s">
        <v>742</v>
      </c>
      <c r="AB19" s="100">
        <v>0.4</v>
      </c>
      <c r="AC19" s="102" t="s">
        <v>678</v>
      </c>
      <c r="AD19" s="102" t="s">
        <v>679</v>
      </c>
      <c r="AE19" s="102" t="s">
        <v>613</v>
      </c>
      <c r="AF19" s="102" t="s">
        <v>610</v>
      </c>
      <c r="AG19" s="100">
        <v>0.857143</v>
      </c>
      <c r="AH19" s="100">
        <v>0.0</v>
      </c>
      <c r="AI19" s="100">
        <v>0.375001</v>
      </c>
      <c r="AJ19" s="100">
        <v>3.8924</v>
      </c>
      <c r="AK19" s="100">
        <v>0.005364</v>
      </c>
      <c r="AL19" s="100">
        <v>2.5E-5</v>
      </c>
      <c r="AM19" s="100">
        <v>5.6E-5</v>
      </c>
      <c r="AN19" s="100">
        <v>0.016435</v>
      </c>
      <c r="AO19" s="100">
        <v>0.014758</v>
      </c>
      <c r="AP19" s="100">
        <v>0.031193</v>
      </c>
      <c r="AQ19" s="100">
        <v>0.050763</v>
      </c>
      <c r="AR19" s="100">
        <v>0.271404</v>
      </c>
      <c r="AS19" s="100">
        <v>4.163804</v>
      </c>
      <c r="AT19" s="100">
        <v>1.0</v>
      </c>
      <c r="AU19" s="100">
        <v>1.0</v>
      </c>
      <c r="AV19" s="102" t="s">
        <v>616</v>
      </c>
      <c r="AW19" s="100">
        <v>1.0</v>
      </c>
      <c r="AX19" s="100">
        <v>1.0</v>
      </c>
      <c r="AY19" s="102" t="s">
        <v>682</v>
      </c>
      <c r="AZ19" s="100">
        <v>1.0</v>
      </c>
      <c r="BA19" s="100">
        <v>0.0</v>
      </c>
      <c r="BB19" s="102"/>
      <c r="BC19" s="100">
        <v>1.0</v>
      </c>
      <c r="BD19" s="100">
        <v>0.0</v>
      </c>
      <c r="BE19" s="102"/>
      <c r="BF19" s="100">
        <v>2.0</v>
      </c>
      <c r="BG19" s="100">
        <v>1.0</v>
      </c>
      <c r="BH19" s="102" t="s">
        <v>618</v>
      </c>
      <c r="BI19" s="100">
        <v>1.0</v>
      </c>
      <c r="BJ19" s="100">
        <v>1.0</v>
      </c>
      <c r="BK19" s="102" t="s">
        <v>724</v>
      </c>
      <c r="BL19" s="100">
        <v>1.0</v>
      </c>
      <c r="BM19" s="100">
        <v>1.0</v>
      </c>
      <c r="BN19" s="102" t="s">
        <v>619</v>
      </c>
      <c r="BO19" s="100">
        <v>2.0</v>
      </c>
      <c r="BP19" s="100">
        <v>1.0</v>
      </c>
      <c r="BQ19" s="102" t="s">
        <v>653</v>
      </c>
      <c r="BR19" s="100">
        <v>2.0</v>
      </c>
      <c r="BS19" s="100">
        <v>1.0</v>
      </c>
      <c r="BT19" s="102" t="s">
        <v>705</v>
      </c>
      <c r="BU19" s="6" t="s">
        <v>517</v>
      </c>
      <c r="BV19" s="6" t="s">
        <v>518</v>
      </c>
      <c r="BW19" s="6" t="s">
        <v>519</v>
      </c>
      <c r="BX19" s="6" t="s">
        <v>520</v>
      </c>
    </row>
    <row r="20">
      <c r="A20" s="6" t="s">
        <v>134</v>
      </c>
      <c r="C20" s="6" t="s">
        <v>368</v>
      </c>
      <c r="D20" s="6" t="s">
        <v>648</v>
      </c>
      <c r="E20" s="97">
        <v>0.350491</v>
      </c>
      <c r="F20" s="97">
        <v>0.3</v>
      </c>
      <c r="G20" s="99" t="s">
        <v>748</v>
      </c>
      <c r="H20" s="6" t="s">
        <v>589</v>
      </c>
      <c r="I20" s="6" t="s">
        <v>589</v>
      </c>
      <c r="J20" s="6" t="s">
        <v>588</v>
      </c>
      <c r="K20" s="6" t="s">
        <v>588</v>
      </c>
      <c r="L20" s="6" t="s">
        <v>586</v>
      </c>
      <c r="M20" s="6" t="s">
        <v>589</v>
      </c>
      <c r="N20" s="6" t="s">
        <v>588</v>
      </c>
      <c r="O20" s="6" t="s">
        <v>637</v>
      </c>
      <c r="P20" s="6" t="s">
        <v>702</v>
      </c>
      <c r="Q20" s="6" t="b">
        <v>0</v>
      </c>
      <c r="R20" s="6" t="s">
        <v>691</v>
      </c>
      <c r="S20" s="6">
        <v>2.0</v>
      </c>
      <c r="T20" s="100">
        <v>3.0</v>
      </c>
      <c r="U20" s="101">
        <v>0.304531</v>
      </c>
      <c r="V20" s="100">
        <v>4.0</v>
      </c>
      <c r="W20" s="100">
        <v>0.350491</v>
      </c>
      <c r="X20" s="100">
        <v>0.3</v>
      </c>
      <c r="Y20" s="102" t="s">
        <v>749</v>
      </c>
      <c r="Z20" s="102" t="s">
        <v>607</v>
      </c>
      <c r="AA20" s="102" t="s">
        <v>748</v>
      </c>
      <c r="AB20" s="100">
        <v>0.3</v>
      </c>
      <c r="AC20" s="102" t="s">
        <v>610</v>
      </c>
      <c r="AD20" s="102" t="s">
        <v>679</v>
      </c>
      <c r="AE20" s="102" t="s">
        <v>613</v>
      </c>
      <c r="AF20" s="102" t="s">
        <v>613</v>
      </c>
      <c r="AG20" s="100">
        <v>0.857143</v>
      </c>
      <c r="AH20" s="100">
        <v>0.0</v>
      </c>
      <c r="AI20" s="100">
        <v>0.0</v>
      </c>
      <c r="AJ20" s="100">
        <v>3.8924</v>
      </c>
      <c r="AK20" s="100">
        <v>0.018445</v>
      </c>
      <c r="AL20" s="100">
        <v>2.6E-5</v>
      </c>
      <c r="AM20" s="100">
        <v>4.3E-5</v>
      </c>
      <c r="AN20" s="100">
        <v>0.008323</v>
      </c>
      <c r="AO20" s="100">
        <v>0.008686</v>
      </c>
      <c r="AP20" s="100">
        <v>0.017009</v>
      </c>
      <c r="AQ20" s="100">
        <v>0.045763</v>
      </c>
      <c r="AR20" s="100">
        <v>0.271404</v>
      </c>
      <c r="AS20" s="100">
        <v>4.163804</v>
      </c>
      <c r="AT20" s="100">
        <v>1.0</v>
      </c>
      <c r="AU20" s="100">
        <v>1.0</v>
      </c>
      <c r="AV20" s="102" t="s">
        <v>616</v>
      </c>
      <c r="AW20" s="100">
        <v>1.0</v>
      </c>
      <c r="AX20" s="100">
        <v>1.0</v>
      </c>
      <c r="AY20" s="102" t="s">
        <v>682</v>
      </c>
      <c r="AZ20" s="100">
        <v>1.0</v>
      </c>
      <c r="BA20" s="100">
        <v>0.0</v>
      </c>
      <c r="BB20" s="102"/>
      <c r="BC20" s="100">
        <v>1.0</v>
      </c>
      <c r="BD20" s="100">
        <v>0.0</v>
      </c>
      <c r="BE20" s="102"/>
      <c r="BF20" s="100">
        <v>2.0</v>
      </c>
      <c r="BG20" s="100">
        <v>1.0</v>
      </c>
      <c r="BH20" s="102" t="s">
        <v>750</v>
      </c>
      <c r="BI20" s="100">
        <v>1.0</v>
      </c>
      <c r="BJ20" s="100">
        <v>1.0</v>
      </c>
      <c r="BK20" s="102" t="s">
        <v>724</v>
      </c>
      <c r="BL20" s="100">
        <v>1.0</v>
      </c>
      <c r="BM20" s="100">
        <v>0.0</v>
      </c>
      <c r="BN20" s="102"/>
      <c r="BO20" s="100">
        <v>2.0</v>
      </c>
      <c r="BP20" s="100">
        <v>2.0</v>
      </c>
      <c r="BQ20" s="102" t="s">
        <v>751</v>
      </c>
      <c r="BR20" s="100">
        <v>2.0</v>
      </c>
      <c r="BS20" s="100">
        <v>0.0</v>
      </c>
      <c r="BT20" s="102"/>
      <c r="BU20" s="6" t="s">
        <v>534</v>
      </c>
      <c r="BV20" s="6" t="s">
        <v>536</v>
      </c>
      <c r="BW20" s="6" t="s">
        <v>540</v>
      </c>
      <c r="BX20" s="6" t="s">
        <v>544</v>
      </c>
    </row>
    <row r="21">
      <c r="A21" s="6" t="s">
        <v>134</v>
      </c>
      <c r="C21" s="6" t="s">
        <v>372</v>
      </c>
      <c r="D21" s="6" t="s">
        <v>650</v>
      </c>
      <c r="E21" s="97">
        <v>0.473708</v>
      </c>
      <c r="F21" s="97">
        <v>0.3</v>
      </c>
      <c r="G21" s="99" t="s">
        <v>740</v>
      </c>
      <c r="H21" s="6" t="s">
        <v>589</v>
      </c>
      <c r="I21" s="6" t="s">
        <v>588</v>
      </c>
      <c r="J21" s="6" t="s">
        <v>588</v>
      </c>
      <c r="K21" s="6" t="s">
        <v>589</v>
      </c>
      <c r="L21" s="6" t="s">
        <v>702</v>
      </c>
      <c r="M21" s="6" t="s">
        <v>588</v>
      </c>
      <c r="N21" s="6" t="s">
        <v>589</v>
      </c>
      <c r="O21" s="6" t="s">
        <v>702</v>
      </c>
      <c r="P21" s="6" t="s">
        <v>702</v>
      </c>
      <c r="Q21" s="6" t="b">
        <v>1</v>
      </c>
      <c r="R21" s="6" t="s">
        <v>675</v>
      </c>
      <c r="S21" s="6">
        <v>0.0</v>
      </c>
      <c r="T21" s="107">
        <v>5.0</v>
      </c>
      <c r="U21" s="101">
        <v>0.315433</v>
      </c>
      <c r="V21" s="100">
        <v>3.0</v>
      </c>
      <c r="W21" s="100">
        <v>0.473708</v>
      </c>
      <c r="X21" s="100">
        <v>0.3</v>
      </c>
      <c r="Y21" s="102" t="s">
        <v>741</v>
      </c>
      <c r="Z21" s="102" t="s">
        <v>607</v>
      </c>
      <c r="AA21" s="102" t="s">
        <v>740</v>
      </c>
      <c r="AB21" s="100">
        <v>0.3</v>
      </c>
      <c r="AC21" s="102" t="s">
        <v>610</v>
      </c>
      <c r="AD21" s="102" t="s">
        <v>678</v>
      </c>
      <c r="AE21" s="102" t="s">
        <v>613</v>
      </c>
      <c r="AF21" s="102" t="s">
        <v>678</v>
      </c>
      <c r="AG21" s="100">
        <v>0.5</v>
      </c>
      <c r="AH21" s="100">
        <v>0.0</v>
      </c>
      <c r="AI21" s="100">
        <v>0.5</v>
      </c>
      <c r="AJ21" s="100">
        <v>3.8924</v>
      </c>
      <c r="AK21" s="100">
        <v>0.040123</v>
      </c>
      <c r="AL21" s="100">
        <v>2.3E-5</v>
      </c>
      <c r="AM21" s="100">
        <v>4.2E-5</v>
      </c>
      <c r="AN21" s="100">
        <v>0.012283</v>
      </c>
      <c r="AO21" s="100">
        <v>0.018895</v>
      </c>
      <c r="AP21" s="100">
        <v>0.031178</v>
      </c>
      <c r="AQ21" s="100">
        <v>0.081802</v>
      </c>
      <c r="AR21" s="100">
        <v>0.271404</v>
      </c>
      <c r="AS21" s="100">
        <v>4.163804</v>
      </c>
      <c r="AT21" s="100">
        <v>1.0</v>
      </c>
      <c r="AU21" s="100">
        <v>1.0</v>
      </c>
      <c r="AV21" s="102" t="s">
        <v>616</v>
      </c>
      <c r="AW21" s="100">
        <v>1.0</v>
      </c>
      <c r="AX21" s="100">
        <v>0.0</v>
      </c>
      <c r="AY21" s="102"/>
      <c r="AZ21" s="100">
        <v>1.0</v>
      </c>
      <c r="BA21" s="100">
        <v>0.0</v>
      </c>
      <c r="BB21" s="102"/>
      <c r="BC21" s="100">
        <v>1.0</v>
      </c>
      <c r="BD21" s="100">
        <v>1.0</v>
      </c>
      <c r="BE21" s="102" t="s">
        <v>752</v>
      </c>
      <c r="BF21" s="100">
        <v>2.0</v>
      </c>
      <c r="BG21" s="100">
        <v>0.0</v>
      </c>
      <c r="BH21" s="102"/>
      <c r="BI21" s="100">
        <v>1.0</v>
      </c>
      <c r="BJ21" s="100">
        <v>0.0</v>
      </c>
      <c r="BK21" s="102"/>
      <c r="BL21" s="100">
        <v>1.0</v>
      </c>
      <c r="BM21" s="100">
        <v>1.0</v>
      </c>
      <c r="BN21" s="102" t="s">
        <v>619</v>
      </c>
      <c r="BO21" s="100">
        <v>2.0</v>
      </c>
      <c r="BP21" s="100">
        <v>0.0</v>
      </c>
      <c r="BQ21" s="102"/>
      <c r="BR21" s="100">
        <v>2.0</v>
      </c>
      <c r="BS21" s="100">
        <v>0.0</v>
      </c>
      <c r="BT21" s="102"/>
      <c r="BU21" s="6" t="s">
        <v>602</v>
      </c>
      <c r="BV21" s="6" t="s">
        <v>606</v>
      </c>
      <c r="BW21" s="6" t="s">
        <v>612</v>
      </c>
      <c r="BX21" s="6" t="s">
        <v>614</v>
      </c>
    </row>
    <row r="22">
      <c r="A22" s="6" t="s">
        <v>142</v>
      </c>
      <c r="B22" s="29" t="str">
        <f>IFERROR(VLOOKUP(A26,Projetos!$A$2:$C$7,2,FALSE),"")
</f>
        <v>Critical Web + Cloud Platform</v>
      </c>
      <c r="C22" s="6" t="s">
        <v>380</v>
      </c>
      <c r="D22" s="6" t="s">
        <v>651</v>
      </c>
      <c r="E22" s="97">
        <v>0.150789</v>
      </c>
      <c r="F22" s="97">
        <v>0.1</v>
      </c>
      <c r="G22" s="99" t="s">
        <v>685</v>
      </c>
      <c r="H22" s="6" t="s">
        <v>586</v>
      </c>
      <c r="I22" s="6" t="s">
        <v>588</v>
      </c>
      <c r="J22" s="6" t="s">
        <v>589</v>
      </c>
      <c r="K22" s="6" t="s">
        <v>721</v>
      </c>
      <c r="L22" s="6" t="s">
        <v>589</v>
      </c>
      <c r="M22" s="6" t="s">
        <v>588</v>
      </c>
      <c r="N22" s="6" t="s">
        <v>721</v>
      </c>
      <c r="O22" s="6" t="s">
        <v>637</v>
      </c>
      <c r="P22" s="6" t="s">
        <v>702</v>
      </c>
      <c r="Q22" s="6" t="b">
        <v>0</v>
      </c>
      <c r="R22" s="6" t="s">
        <v>703</v>
      </c>
      <c r="S22" s="6">
        <v>5.0</v>
      </c>
      <c r="T22" s="105">
        <v>5.0</v>
      </c>
      <c r="U22" s="101">
        <v>0.108169</v>
      </c>
      <c r="V22" s="100">
        <v>5.0</v>
      </c>
      <c r="W22" s="100">
        <v>0.150789</v>
      </c>
      <c r="X22" s="100">
        <v>0.1</v>
      </c>
      <c r="Y22" s="102" t="s">
        <v>603</v>
      </c>
      <c r="Z22" s="102" t="s">
        <v>642</v>
      </c>
      <c r="AA22" s="102" t="s">
        <v>685</v>
      </c>
      <c r="AB22" s="100">
        <v>0.1</v>
      </c>
      <c r="AC22" s="102" t="s">
        <v>613</v>
      </c>
      <c r="AD22" s="102" t="s">
        <v>610</v>
      </c>
      <c r="AE22" s="102" t="s">
        <v>613</v>
      </c>
      <c r="AF22" s="102" t="s">
        <v>613</v>
      </c>
      <c r="AG22" s="100">
        <v>0.25</v>
      </c>
      <c r="AH22" s="100">
        <v>0.047619</v>
      </c>
      <c r="AI22" s="100">
        <v>0.095238</v>
      </c>
      <c r="AJ22" s="100">
        <v>3.8924</v>
      </c>
      <c r="AK22" s="100">
        <v>0.005894</v>
      </c>
      <c r="AL22" s="100">
        <v>2.8E-5</v>
      </c>
      <c r="AM22" s="100">
        <v>5.7E-5</v>
      </c>
      <c r="AN22" s="100">
        <v>0.012409</v>
      </c>
      <c r="AO22" s="100">
        <v>0.013196</v>
      </c>
      <c r="AP22" s="100">
        <v>0.025606</v>
      </c>
      <c r="AQ22" s="100">
        <v>0.048625</v>
      </c>
      <c r="AR22" s="100">
        <v>0.257203</v>
      </c>
      <c r="AS22" s="100">
        <v>4.149603</v>
      </c>
      <c r="AT22" s="100">
        <v>2.0</v>
      </c>
      <c r="AU22" s="100">
        <v>1.0</v>
      </c>
      <c r="AV22" s="102" t="s">
        <v>616</v>
      </c>
      <c r="AW22" s="100">
        <v>1.0</v>
      </c>
      <c r="AX22" s="100">
        <v>0.0</v>
      </c>
      <c r="AY22" s="102"/>
      <c r="AZ22" s="100">
        <v>1.0</v>
      </c>
      <c r="BA22" s="100">
        <v>1.0</v>
      </c>
      <c r="BB22" s="102" t="s">
        <v>730</v>
      </c>
      <c r="BC22" s="100">
        <v>3.0</v>
      </c>
      <c r="BD22" s="100">
        <v>1.0</v>
      </c>
      <c r="BE22" s="102" t="s">
        <v>618</v>
      </c>
      <c r="BF22" s="100">
        <v>1.0</v>
      </c>
      <c r="BG22" s="100">
        <v>1.0</v>
      </c>
      <c r="BH22" s="102" t="s">
        <v>683</v>
      </c>
      <c r="BI22" s="100">
        <v>1.0</v>
      </c>
      <c r="BJ22" s="100">
        <v>0.0</v>
      </c>
      <c r="BK22" s="102"/>
      <c r="BL22" s="100">
        <v>3.0</v>
      </c>
      <c r="BM22" s="100">
        <v>1.0</v>
      </c>
      <c r="BN22" s="102" t="s">
        <v>619</v>
      </c>
      <c r="BO22" s="100">
        <v>2.0</v>
      </c>
      <c r="BP22" s="100">
        <v>2.0</v>
      </c>
      <c r="BQ22" s="102" t="s">
        <v>706</v>
      </c>
      <c r="BR22" s="100">
        <v>2.0</v>
      </c>
      <c r="BS22" s="100">
        <v>0.0</v>
      </c>
      <c r="BT22" s="102"/>
      <c r="BU22" s="102" t="s">
        <v>661</v>
      </c>
      <c r="BV22" s="102" t="s">
        <v>663</v>
      </c>
      <c r="BW22" s="102" t="s">
        <v>664</v>
      </c>
      <c r="BX22" s="102" t="s">
        <v>666</v>
      </c>
    </row>
    <row r="23">
      <c r="A23" s="6" t="s">
        <v>142</v>
      </c>
      <c r="B23" s="72" t="s">
        <v>386</v>
      </c>
      <c r="C23" s="6" t="s">
        <v>387</v>
      </c>
      <c r="D23" s="6" t="s">
        <v>652</v>
      </c>
      <c r="E23" s="97">
        <v>0.449858</v>
      </c>
      <c r="F23" s="97">
        <v>0.3</v>
      </c>
      <c r="G23" s="99" t="s">
        <v>757</v>
      </c>
      <c r="H23" s="6" t="s">
        <v>637</v>
      </c>
      <c r="I23" s="6" t="s">
        <v>589</v>
      </c>
      <c r="J23" s="6" t="s">
        <v>588</v>
      </c>
      <c r="K23" s="6" t="s">
        <v>758</v>
      </c>
      <c r="L23" s="6" t="s">
        <v>588</v>
      </c>
      <c r="M23" s="6" t="s">
        <v>589</v>
      </c>
      <c r="N23" s="6" t="s">
        <v>758</v>
      </c>
      <c r="O23" s="6" t="s">
        <v>702</v>
      </c>
      <c r="P23" s="6" t="s">
        <v>586</v>
      </c>
      <c r="Q23" s="6" t="b">
        <v>0</v>
      </c>
      <c r="R23" s="6" t="s">
        <v>691</v>
      </c>
      <c r="S23" s="6">
        <v>2.0</v>
      </c>
      <c r="T23" s="105">
        <v>1.0</v>
      </c>
      <c r="U23" s="101">
        <v>0.313318</v>
      </c>
      <c r="V23" s="100">
        <v>1.0</v>
      </c>
      <c r="W23" s="100">
        <v>0.449858</v>
      </c>
      <c r="X23" s="100">
        <v>0.3</v>
      </c>
      <c r="Y23" s="102" t="s">
        <v>759</v>
      </c>
      <c r="Z23" s="102" t="s">
        <v>607</v>
      </c>
      <c r="AA23" s="102" t="s">
        <v>757</v>
      </c>
      <c r="AB23" s="100">
        <v>0.3</v>
      </c>
      <c r="AC23" s="102" t="s">
        <v>610</v>
      </c>
      <c r="AD23" s="102" t="s">
        <v>677</v>
      </c>
      <c r="AE23" s="102" t="s">
        <v>610</v>
      </c>
      <c r="AF23" s="102" t="s">
        <v>610</v>
      </c>
      <c r="AG23" s="100">
        <v>0.642857</v>
      </c>
      <c r="AH23" s="100">
        <v>0.253968</v>
      </c>
      <c r="AI23" s="100">
        <v>0.238095</v>
      </c>
      <c r="AJ23" s="100">
        <v>3.8924</v>
      </c>
      <c r="AK23" s="100">
        <v>0.011807</v>
      </c>
      <c r="AL23" s="100">
        <v>2.0E-5</v>
      </c>
      <c r="AM23" s="100">
        <v>3.8E-5</v>
      </c>
      <c r="AN23" s="100">
        <v>0.013129</v>
      </c>
      <c r="AO23" s="100">
        <v>0.012929</v>
      </c>
      <c r="AP23" s="100">
        <v>0.026059</v>
      </c>
      <c r="AQ23" s="100">
        <v>0.053906</v>
      </c>
      <c r="AR23" s="100">
        <v>0.257203</v>
      </c>
      <c r="AS23" s="100">
        <v>4.149603</v>
      </c>
      <c r="AT23" s="100">
        <v>2.0</v>
      </c>
      <c r="AU23" s="100">
        <v>2.0</v>
      </c>
      <c r="AV23" s="102" t="s">
        <v>760</v>
      </c>
      <c r="AW23" s="100">
        <v>1.0</v>
      </c>
      <c r="AX23" s="100">
        <v>1.0</v>
      </c>
      <c r="AY23" s="102" t="s">
        <v>617</v>
      </c>
      <c r="AZ23" s="100">
        <v>1.0</v>
      </c>
      <c r="BA23" s="100">
        <v>0.0</v>
      </c>
      <c r="BB23" s="102"/>
      <c r="BC23" s="100">
        <v>3.0</v>
      </c>
      <c r="BD23" s="100">
        <v>2.0</v>
      </c>
      <c r="BE23" s="102" t="s">
        <v>761</v>
      </c>
      <c r="BF23" s="100">
        <v>1.0</v>
      </c>
      <c r="BG23" s="100">
        <v>0.0</v>
      </c>
      <c r="BH23" s="102"/>
      <c r="BI23" s="100">
        <v>1.0</v>
      </c>
      <c r="BJ23" s="100">
        <v>1.0</v>
      </c>
      <c r="BK23" s="102" t="s">
        <v>713</v>
      </c>
      <c r="BL23" s="100">
        <v>3.0</v>
      </c>
      <c r="BM23" s="100">
        <v>2.0</v>
      </c>
      <c r="BN23" s="102" t="s">
        <v>763</v>
      </c>
      <c r="BO23" s="100">
        <v>2.0</v>
      </c>
      <c r="BP23" s="100">
        <v>0.0</v>
      </c>
      <c r="BQ23" s="102"/>
      <c r="BR23" s="100">
        <v>2.0</v>
      </c>
      <c r="BS23" s="100">
        <v>1.0</v>
      </c>
      <c r="BT23" s="102" t="s">
        <v>714</v>
      </c>
      <c r="BU23" s="6" t="s">
        <v>686</v>
      </c>
      <c r="BV23" s="6" t="s">
        <v>687</v>
      </c>
      <c r="BW23" s="6" t="s">
        <v>688</v>
      </c>
      <c r="BX23" s="6" t="s">
        <v>689</v>
      </c>
    </row>
    <row r="24">
      <c r="A24" s="6" t="s">
        <v>142</v>
      </c>
      <c r="B24" s="106"/>
      <c r="C24" s="6" t="s">
        <v>395</v>
      </c>
      <c r="D24" s="6" t="s">
        <v>658</v>
      </c>
      <c r="E24" s="97">
        <v>0.350739</v>
      </c>
      <c r="F24" s="97">
        <v>0.1</v>
      </c>
      <c r="G24" s="99" t="s">
        <v>764</v>
      </c>
      <c r="H24" s="6" t="s">
        <v>637</v>
      </c>
      <c r="I24" s="6" t="s">
        <v>589</v>
      </c>
      <c r="J24" s="6" t="s">
        <v>588</v>
      </c>
      <c r="K24" s="6" t="s">
        <v>758</v>
      </c>
      <c r="L24" s="6" t="s">
        <v>588</v>
      </c>
      <c r="M24" s="6" t="s">
        <v>589</v>
      </c>
      <c r="N24" s="6" t="s">
        <v>758</v>
      </c>
      <c r="O24" s="6" t="s">
        <v>702</v>
      </c>
      <c r="P24" s="6" t="s">
        <v>637</v>
      </c>
      <c r="Q24" s="6" t="b">
        <v>0</v>
      </c>
      <c r="R24" s="6" t="s">
        <v>691</v>
      </c>
      <c r="S24" s="6">
        <v>2.0</v>
      </c>
      <c r="T24" s="100">
        <v>3.0</v>
      </c>
      <c r="U24" s="101">
        <v>0.126598</v>
      </c>
      <c r="V24" s="100">
        <v>3.0</v>
      </c>
      <c r="W24" s="100">
        <v>0.350739</v>
      </c>
      <c r="X24" s="100">
        <v>0.1</v>
      </c>
      <c r="Y24" s="102" t="s">
        <v>765</v>
      </c>
      <c r="Z24" s="102" t="s">
        <v>642</v>
      </c>
      <c r="AA24" s="102" t="s">
        <v>764</v>
      </c>
      <c r="AB24" s="100">
        <v>0.1</v>
      </c>
      <c r="AC24" s="102" t="s">
        <v>613</v>
      </c>
      <c r="AD24" s="102" t="s">
        <v>678</v>
      </c>
      <c r="AE24" s="102" t="s">
        <v>610</v>
      </c>
      <c r="AF24" s="102" t="s">
        <v>610</v>
      </c>
      <c r="AG24" s="100">
        <v>0.428572</v>
      </c>
      <c r="AH24" s="100">
        <v>0.253968</v>
      </c>
      <c r="AI24" s="100">
        <v>0.253968</v>
      </c>
      <c r="AJ24" s="100">
        <v>3.8924</v>
      </c>
      <c r="AK24" s="100">
        <v>0.003718</v>
      </c>
      <c r="AL24" s="100">
        <v>2.1E-5</v>
      </c>
      <c r="AM24" s="100">
        <v>4.3E-5</v>
      </c>
      <c r="AN24" s="100">
        <v>0.016889</v>
      </c>
      <c r="AO24" s="100">
        <v>0.013649</v>
      </c>
      <c r="AP24" s="100">
        <v>0.030538</v>
      </c>
      <c r="AQ24" s="100">
        <v>0.043692</v>
      </c>
      <c r="AR24" s="100">
        <v>0.257203</v>
      </c>
      <c r="AS24" s="100">
        <v>4.149603</v>
      </c>
      <c r="AT24" s="100">
        <v>2.0</v>
      </c>
      <c r="AU24" s="100">
        <v>2.0</v>
      </c>
      <c r="AV24" s="102" t="s">
        <v>760</v>
      </c>
      <c r="AW24" s="100">
        <v>1.0</v>
      </c>
      <c r="AX24" s="100">
        <v>1.0</v>
      </c>
      <c r="AY24" s="102" t="s">
        <v>617</v>
      </c>
      <c r="AZ24" s="100">
        <v>1.0</v>
      </c>
      <c r="BA24" s="100">
        <v>0.0</v>
      </c>
      <c r="BB24" s="102"/>
      <c r="BC24" s="100">
        <v>3.0</v>
      </c>
      <c r="BD24" s="100">
        <v>2.0</v>
      </c>
      <c r="BE24" s="102" t="s">
        <v>761</v>
      </c>
      <c r="BF24" s="100">
        <v>1.0</v>
      </c>
      <c r="BG24" s="100">
        <v>0.0</v>
      </c>
      <c r="BH24" s="102"/>
      <c r="BI24" s="100">
        <v>1.0</v>
      </c>
      <c r="BJ24" s="100">
        <v>1.0</v>
      </c>
      <c r="BK24" s="102" t="s">
        <v>713</v>
      </c>
      <c r="BL24" s="100">
        <v>3.0</v>
      </c>
      <c r="BM24" s="100">
        <v>2.0</v>
      </c>
      <c r="BN24" s="102" t="s">
        <v>763</v>
      </c>
      <c r="BO24" s="100">
        <v>2.0</v>
      </c>
      <c r="BP24" s="100">
        <v>0.0</v>
      </c>
      <c r="BQ24" s="102"/>
      <c r="BR24" s="100">
        <v>2.0</v>
      </c>
      <c r="BS24" s="100">
        <v>2.0</v>
      </c>
      <c r="BT24" s="102" t="s">
        <v>719</v>
      </c>
      <c r="BU24" s="6" t="s">
        <v>697</v>
      </c>
      <c r="BV24" s="6" t="s">
        <v>698</v>
      </c>
      <c r="BW24" s="6" t="s">
        <v>699</v>
      </c>
      <c r="BX24" s="6" t="s">
        <v>700</v>
      </c>
    </row>
    <row r="25">
      <c r="A25" s="6" t="s">
        <v>142</v>
      </c>
      <c r="C25" s="6" t="s">
        <v>400</v>
      </c>
      <c r="D25" s="6" t="s">
        <v>665</v>
      </c>
      <c r="E25" s="97">
        <v>0.150789</v>
      </c>
      <c r="F25" s="97">
        <v>0.3</v>
      </c>
      <c r="G25" s="99" t="s">
        <v>584</v>
      </c>
      <c r="H25" s="6" t="s">
        <v>586</v>
      </c>
      <c r="I25" s="6" t="s">
        <v>589</v>
      </c>
      <c r="J25" s="6" t="s">
        <v>588</v>
      </c>
      <c r="K25" s="6" t="s">
        <v>721</v>
      </c>
      <c r="L25" s="6" t="s">
        <v>588</v>
      </c>
      <c r="M25" s="6" t="s">
        <v>589</v>
      </c>
      <c r="N25" s="6" t="s">
        <v>721</v>
      </c>
      <c r="O25" s="6" t="s">
        <v>702</v>
      </c>
      <c r="P25" s="6" t="s">
        <v>637</v>
      </c>
      <c r="Q25" s="6" t="b">
        <v>0</v>
      </c>
      <c r="R25" s="6" t="s">
        <v>703</v>
      </c>
      <c r="S25" s="6">
        <v>5.0</v>
      </c>
      <c r="T25" s="100">
        <v>1.0</v>
      </c>
      <c r="U25" s="101">
        <v>0.164574</v>
      </c>
      <c r="V25" s="100">
        <v>2.0</v>
      </c>
      <c r="W25" s="100">
        <v>0.150789</v>
      </c>
      <c r="X25" s="100">
        <v>0.3</v>
      </c>
      <c r="Y25" s="102" t="s">
        <v>603</v>
      </c>
      <c r="Z25" s="102" t="s">
        <v>607</v>
      </c>
      <c r="AA25" s="102" t="s">
        <v>584</v>
      </c>
      <c r="AB25" s="100">
        <v>0.2</v>
      </c>
      <c r="AC25" s="102" t="s">
        <v>610</v>
      </c>
      <c r="AD25" s="102" t="s">
        <v>610</v>
      </c>
      <c r="AE25" s="102" t="s">
        <v>613</v>
      </c>
      <c r="AF25" s="102" t="s">
        <v>613</v>
      </c>
      <c r="AG25" s="100">
        <v>0.214286</v>
      </c>
      <c r="AH25" s="100">
        <v>0.111111</v>
      </c>
      <c r="AI25" s="100">
        <v>0.111111</v>
      </c>
      <c r="AJ25" s="100">
        <v>3.8924</v>
      </c>
      <c r="AK25" s="100">
        <v>0.024322</v>
      </c>
      <c r="AL25" s="100">
        <v>2.5E-5</v>
      </c>
      <c r="AM25" s="100">
        <v>4.3E-5</v>
      </c>
      <c r="AN25" s="100">
        <v>0.009751</v>
      </c>
      <c r="AO25" s="100">
        <v>0.017913</v>
      </c>
      <c r="AP25" s="100">
        <v>0.027665</v>
      </c>
      <c r="AQ25" s="100">
        <v>0.06135</v>
      </c>
      <c r="AR25" s="100">
        <v>0.257203</v>
      </c>
      <c r="AS25" s="100">
        <v>4.149603</v>
      </c>
      <c r="AT25" s="100">
        <v>2.0</v>
      </c>
      <c r="AU25" s="100">
        <v>1.0</v>
      </c>
      <c r="AV25" s="102" t="s">
        <v>682</v>
      </c>
      <c r="AW25" s="100">
        <v>1.0</v>
      </c>
      <c r="AX25" s="100">
        <v>1.0</v>
      </c>
      <c r="AY25" s="102" t="s">
        <v>617</v>
      </c>
      <c r="AZ25" s="100">
        <v>1.0</v>
      </c>
      <c r="BA25" s="100">
        <v>0.0</v>
      </c>
      <c r="BB25" s="102"/>
      <c r="BC25" s="100">
        <v>3.0</v>
      </c>
      <c r="BD25" s="100">
        <v>1.0</v>
      </c>
      <c r="BE25" s="102" t="s">
        <v>724</v>
      </c>
      <c r="BF25" s="100">
        <v>1.0</v>
      </c>
      <c r="BG25" s="100">
        <v>0.0</v>
      </c>
      <c r="BH25" s="102"/>
      <c r="BI25" s="100">
        <v>1.0</v>
      </c>
      <c r="BJ25" s="100">
        <v>1.0</v>
      </c>
      <c r="BK25" s="102" t="s">
        <v>713</v>
      </c>
      <c r="BL25" s="100">
        <v>3.0</v>
      </c>
      <c r="BM25" s="100">
        <v>1.0</v>
      </c>
      <c r="BN25" s="102" t="s">
        <v>653</v>
      </c>
      <c r="BO25" s="100">
        <v>2.0</v>
      </c>
      <c r="BP25" s="100">
        <v>0.0</v>
      </c>
      <c r="BQ25" s="102"/>
      <c r="BR25" s="100">
        <v>2.0</v>
      </c>
      <c r="BS25" s="100">
        <v>2.0</v>
      </c>
      <c r="BT25" s="102" t="s">
        <v>719</v>
      </c>
      <c r="BU25" s="6" t="s">
        <v>708</v>
      </c>
      <c r="BV25" s="6" t="s">
        <v>709</v>
      </c>
      <c r="BW25" s="6" t="s">
        <v>710</v>
      </c>
      <c r="BX25" s="6" t="s">
        <v>711</v>
      </c>
    </row>
    <row r="26">
      <c r="A26" s="6" t="s">
        <v>142</v>
      </c>
      <c r="C26" s="6" t="s">
        <v>407</v>
      </c>
      <c r="D26" s="6" t="s">
        <v>667</v>
      </c>
      <c r="E26" s="97">
        <v>0.289675</v>
      </c>
      <c r="F26" s="97">
        <v>0.1</v>
      </c>
      <c r="G26" s="99" t="s">
        <v>767</v>
      </c>
      <c r="H26" s="6" t="s">
        <v>586</v>
      </c>
      <c r="I26" s="6" t="s">
        <v>589</v>
      </c>
      <c r="J26" s="6" t="s">
        <v>588</v>
      </c>
      <c r="K26" s="6" t="s">
        <v>768</v>
      </c>
      <c r="L26" s="6" t="s">
        <v>588</v>
      </c>
      <c r="M26" s="6" t="s">
        <v>589</v>
      </c>
      <c r="N26" s="6" t="s">
        <v>758</v>
      </c>
      <c r="O26" s="6" t="s">
        <v>702</v>
      </c>
      <c r="P26" s="6" t="s">
        <v>586</v>
      </c>
      <c r="Q26" s="6" t="b">
        <v>0</v>
      </c>
      <c r="R26" s="6" t="s">
        <v>772</v>
      </c>
      <c r="S26" s="6">
        <v>5.0</v>
      </c>
      <c r="T26" s="100">
        <v>4.0</v>
      </c>
      <c r="U26" s="101">
        <v>0.117846</v>
      </c>
      <c r="V26" s="100">
        <v>4.0</v>
      </c>
      <c r="W26" s="100">
        <v>0.289675</v>
      </c>
      <c r="X26" s="100">
        <v>0.1</v>
      </c>
      <c r="Y26" s="102" t="s">
        <v>773</v>
      </c>
      <c r="Z26" s="102" t="s">
        <v>642</v>
      </c>
      <c r="AA26" s="102" t="s">
        <v>767</v>
      </c>
      <c r="AB26" s="100">
        <v>0.1</v>
      </c>
      <c r="AC26" s="102" t="s">
        <v>613</v>
      </c>
      <c r="AD26" s="102" t="s">
        <v>610</v>
      </c>
      <c r="AE26" s="102" t="s">
        <v>613</v>
      </c>
      <c r="AF26" s="102" t="s">
        <v>610</v>
      </c>
      <c r="AG26" s="100">
        <v>0.214286</v>
      </c>
      <c r="AH26" s="100">
        <v>0.0</v>
      </c>
      <c r="AI26" s="100">
        <v>0.238095</v>
      </c>
      <c r="AJ26" s="100">
        <v>3.8924</v>
      </c>
      <c r="AK26" s="100">
        <v>0.006017</v>
      </c>
      <c r="AL26" s="100">
        <v>2.4E-5</v>
      </c>
      <c r="AM26" s="100">
        <v>4.0E-5</v>
      </c>
      <c r="AN26" s="100">
        <v>0.01279</v>
      </c>
      <c r="AO26" s="100">
        <v>0.012946</v>
      </c>
      <c r="AP26" s="100">
        <v>0.025736</v>
      </c>
      <c r="AQ26" s="100">
        <v>0.046459</v>
      </c>
      <c r="AR26" s="100">
        <v>0.257203</v>
      </c>
      <c r="AS26" s="100">
        <v>4.149603</v>
      </c>
      <c r="AT26" s="100">
        <v>2.0</v>
      </c>
      <c r="AU26" s="100">
        <v>1.0</v>
      </c>
      <c r="AV26" s="102" t="s">
        <v>616</v>
      </c>
      <c r="AW26" s="100">
        <v>1.0</v>
      </c>
      <c r="AX26" s="100">
        <v>1.0</v>
      </c>
      <c r="AY26" s="102" t="s">
        <v>617</v>
      </c>
      <c r="AZ26" s="100">
        <v>1.0</v>
      </c>
      <c r="BA26" s="100">
        <v>0.0</v>
      </c>
      <c r="BB26" s="102"/>
      <c r="BC26" s="100">
        <v>3.0</v>
      </c>
      <c r="BD26" s="100">
        <v>0.0</v>
      </c>
      <c r="BE26" s="102"/>
      <c r="BF26" s="100">
        <v>1.0</v>
      </c>
      <c r="BG26" s="100">
        <v>0.0</v>
      </c>
      <c r="BH26" s="102"/>
      <c r="BI26" s="100">
        <v>1.0</v>
      </c>
      <c r="BJ26" s="100">
        <v>1.0</v>
      </c>
      <c r="BK26" s="102" t="s">
        <v>713</v>
      </c>
      <c r="BL26" s="100">
        <v>3.0</v>
      </c>
      <c r="BM26" s="100">
        <v>2.0</v>
      </c>
      <c r="BN26" s="102" t="s">
        <v>649</v>
      </c>
      <c r="BO26" s="100">
        <v>2.0</v>
      </c>
      <c r="BP26" s="100">
        <v>0.0</v>
      </c>
      <c r="BQ26" s="102"/>
      <c r="BR26" s="100">
        <v>2.0</v>
      </c>
      <c r="BS26" s="100">
        <v>1.0</v>
      </c>
      <c r="BT26" s="102" t="s">
        <v>714</v>
      </c>
      <c r="BU26" s="6" t="s">
        <v>725</v>
      </c>
      <c r="BV26" s="6" t="s">
        <v>726</v>
      </c>
      <c r="BW26" s="6" t="s">
        <v>727</v>
      </c>
      <c r="BX26" s="6" t="s">
        <v>728</v>
      </c>
    </row>
    <row r="27">
      <c r="A27" s="6" t="s">
        <v>158</v>
      </c>
      <c r="B27" s="73" t="str">
        <f>IFERROR(VLOOKUP(A27,Projetos!$A$2:$C$8,2,FALSE),"")
</f>
        <v>Critical Embedded Hardware Platform</v>
      </c>
      <c r="C27" s="6" t="s">
        <v>410</v>
      </c>
      <c r="D27" s="6" t="s">
        <v>668</v>
      </c>
      <c r="E27" s="97">
        <v>0.249664</v>
      </c>
      <c r="F27" s="97">
        <v>0.3</v>
      </c>
      <c r="G27" s="99" t="s">
        <v>774</v>
      </c>
      <c r="H27" s="6" t="s">
        <v>637</v>
      </c>
      <c r="I27" s="6" t="s">
        <v>589</v>
      </c>
      <c r="J27" s="6" t="s">
        <v>589</v>
      </c>
      <c r="K27" s="6" t="s">
        <v>637</v>
      </c>
      <c r="L27" s="6" t="s">
        <v>589</v>
      </c>
      <c r="M27" s="6" t="s">
        <v>637</v>
      </c>
      <c r="N27" s="6" t="s">
        <v>589</v>
      </c>
      <c r="O27" s="6" t="s">
        <v>589</v>
      </c>
      <c r="P27" s="6" t="s">
        <v>589</v>
      </c>
      <c r="Q27" s="6" t="b">
        <v>1</v>
      </c>
      <c r="R27" s="6" t="s">
        <v>675</v>
      </c>
      <c r="S27" s="6">
        <v>0.0</v>
      </c>
      <c r="T27" s="100">
        <v>2.0</v>
      </c>
      <c r="U27" s="101">
        <v>0.254359</v>
      </c>
      <c r="V27" s="100">
        <v>2.0</v>
      </c>
      <c r="W27" s="100">
        <v>0.249664</v>
      </c>
      <c r="X27" s="100">
        <v>0.3</v>
      </c>
      <c r="Y27" s="102" t="s">
        <v>712</v>
      </c>
      <c r="Z27" s="102" t="s">
        <v>607</v>
      </c>
      <c r="AA27" s="102" t="s">
        <v>774</v>
      </c>
      <c r="AB27" s="100">
        <v>0.2</v>
      </c>
      <c r="AC27" s="102" t="s">
        <v>610</v>
      </c>
      <c r="AD27" s="102" t="s">
        <v>678</v>
      </c>
      <c r="AE27" s="102" t="s">
        <v>613</v>
      </c>
      <c r="AF27" s="102" t="s">
        <v>613</v>
      </c>
      <c r="AG27" s="100">
        <v>0.428572</v>
      </c>
      <c r="AH27" s="100">
        <v>0.0</v>
      </c>
      <c r="AI27" s="100">
        <v>0.0</v>
      </c>
      <c r="AJ27" s="100">
        <v>3.8924</v>
      </c>
      <c r="AK27" s="100">
        <v>0.005175</v>
      </c>
      <c r="AL27" s="100">
        <v>1.9E-5</v>
      </c>
      <c r="AM27" s="100">
        <v>3.8E-5</v>
      </c>
      <c r="AN27" s="100">
        <v>0.008145</v>
      </c>
      <c r="AO27" s="100">
        <v>0.045279</v>
      </c>
      <c r="AP27" s="100">
        <v>0.053424</v>
      </c>
      <c r="AQ27" s="100">
        <v>0.068296</v>
      </c>
      <c r="AR27" s="100">
        <v>0.429029</v>
      </c>
      <c r="AS27" s="100">
        <v>4.321429</v>
      </c>
      <c r="AT27" s="100">
        <v>2.0</v>
      </c>
      <c r="AU27" s="100">
        <v>2.0</v>
      </c>
      <c r="AV27" s="102" t="s">
        <v>775</v>
      </c>
      <c r="AW27" s="100">
        <v>1.0</v>
      </c>
      <c r="AX27" s="100">
        <v>1.0</v>
      </c>
      <c r="AY27" s="102" t="s">
        <v>776</v>
      </c>
      <c r="AZ27" s="100">
        <v>1.0</v>
      </c>
      <c r="BA27" s="100">
        <v>1.0</v>
      </c>
      <c r="BB27" s="102" t="s">
        <v>682</v>
      </c>
      <c r="BC27" s="100">
        <v>2.0</v>
      </c>
      <c r="BD27" s="100">
        <v>2.0</v>
      </c>
      <c r="BE27" s="102" t="s">
        <v>777</v>
      </c>
      <c r="BF27" s="100">
        <v>1.0</v>
      </c>
      <c r="BG27" s="100">
        <v>1.0</v>
      </c>
      <c r="BH27" s="102" t="s">
        <v>778</v>
      </c>
      <c r="BI27" s="100">
        <v>3.0</v>
      </c>
      <c r="BJ27" s="100">
        <v>3.0</v>
      </c>
      <c r="BK27" s="102" t="s">
        <v>779</v>
      </c>
      <c r="BL27" s="100">
        <v>1.0</v>
      </c>
      <c r="BM27" s="100">
        <v>1.0</v>
      </c>
      <c r="BN27" s="102" t="s">
        <v>780</v>
      </c>
      <c r="BO27" s="100">
        <v>1.0</v>
      </c>
      <c r="BP27" s="100">
        <v>1.0</v>
      </c>
      <c r="BQ27" s="102" t="s">
        <v>731</v>
      </c>
      <c r="BR27" s="100">
        <v>1.0</v>
      </c>
      <c r="BS27" s="100">
        <v>1.0</v>
      </c>
      <c r="BT27" s="102" t="s">
        <v>653</v>
      </c>
      <c r="BU27" s="6" t="s">
        <v>736</v>
      </c>
      <c r="BV27" s="6" t="s">
        <v>737</v>
      </c>
      <c r="BW27" s="6" t="s">
        <v>738</v>
      </c>
      <c r="BX27" s="6" t="s">
        <v>739</v>
      </c>
    </row>
    <row r="28">
      <c r="A28" s="6" t="s">
        <v>158</v>
      </c>
      <c r="B28" s="9" t="s">
        <v>430</v>
      </c>
      <c r="C28" s="6" t="s">
        <v>413</v>
      </c>
      <c r="D28" s="6" t="s">
        <v>669</v>
      </c>
      <c r="E28" s="97">
        <v>0.249664</v>
      </c>
      <c r="F28" s="97">
        <v>0.5</v>
      </c>
      <c r="G28" s="99" t="s">
        <v>707</v>
      </c>
      <c r="H28" s="6" t="s">
        <v>637</v>
      </c>
      <c r="I28" s="6" t="s">
        <v>589</v>
      </c>
      <c r="J28" s="6" t="s">
        <v>589</v>
      </c>
      <c r="K28" s="6" t="s">
        <v>637</v>
      </c>
      <c r="L28" s="6" t="s">
        <v>589</v>
      </c>
      <c r="M28" s="6" t="s">
        <v>637</v>
      </c>
      <c r="N28" s="6" t="s">
        <v>589</v>
      </c>
      <c r="O28" s="6" t="s">
        <v>589</v>
      </c>
      <c r="P28" s="6" t="s">
        <v>589</v>
      </c>
      <c r="Q28" s="6" t="b">
        <v>1</v>
      </c>
      <c r="R28" s="6" t="s">
        <v>675</v>
      </c>
      <c r="S28" s="6">
        <v>0.0</v>
      </c>
      <c r="T28" s="105">
        <v>1.0</v>
      </c>
      <c r="U28" s="101">
        <v>0.275664</v>
      </c>
      <c r="V28" s="100">
        <v>1.0</v>
      </c>
      <c r="W28" s="100">
        <v>0.249664</v>
      </c>
      <c r="X28" s="100">
        <v>0.5</v>
      </c>
      <c r="Y28" s="102" t="s">
        <v>712</v>
      </c>
      <c r="Z28" s="102" t="s">
        <v>694</v>
      </c>
      <c r="AA28" s="102" t="s">
        <v>707</v>
      </c>
      <c r="AB28" s="100">
        <v>0.5</v>
      </c>
      <c r="AC28" s="102" t="s">
        <v>678</v>
      </c>
      <c r="AD28" s="102" t="s">
        <v>678</v>
      </c>
      <c r="AE28" s="102" t="s">
        <v>613</v>
      </c>
      <c r="AF28" s="102" t="s">
        <v>613</v>
      </c>
      <c r="AG28" s="100">
        <v>0.428572</v>
      </c>
      <c r="AH28" s="100">
        <v>0.0</v>
      </c>
      <c r="AI28" s="100">
        <v>0.0</v>
      </c>
      <c r="AJ28" s="100">
        <v>3.8924</v>
      </c>
      <c r="AK28" s="100">
        <v>0.146002</v>
      </c>
      <c r="AL28" s="100">
        <v>3.1E-5</v>
      </c>
      <c r="AM28" s="100">
        <v>6.0E-5</v>
      </c>
      <c r="AN28" s="100">
        <v>0.011877</v>
      </c>
      <c r="AO28" s="100">
        <v>0.012815</v>
      </c>
      <c r="AP28" s="100">
        <v>0.024692</v>
      </c>
      <c r="AQ28" s="100">
        <v>0.183304</v>
      </c>
      <c r="AR28" s="100">
        <v>0.429029</v>
      </c>
      <c r="AS28" s="100">
        <v>4.321429</v>
      </c>
      <c r="AT28" s="100">
        <v>2.0</v>
      </c>
      <c r="AU28" s="100">
        <v>2.0</v>
      </c>
      <c r="AV28" s="102" t="s">
        <v>775</v>
      </c>
      <c r="AW28" s="100">
        <v>1.0</v>
      </c>
      <c r="AX28" s="100">
        <v>1.0</v>
      </c>
      <c r="AY28" s="102" t="s">
        <v>776</v>
      </c>
      <c r="AZ28" s="100">
        <v>1.0</v>
      </c>
      <c r="BA28" s="100">
        <v>1.0</v>
      </c>
      <c r="BB28" s="102" t="s">
        <v>682</v>
      </c>
      <c r="BC28" s="100">
        <v>2.0</v>
      </c>
      <c r="BD28" s="100">
        <v>2.0</v>
      </c>
      <c r="BE28" s="102" t="s">
        <v>777</v>
      </c>
      <c r="BF28" s="100">
        <v>1.0</v>
      </c>
      <c r="BG28" s="100">
        <v>1.0</v>
      </c>
      <c r="BH28" s="102" t="s">
        <v>778</v>
      </c>
      <c r="BI28" s="100">
        <v>3.0</v>
      </c>
      <c r="BJ28" s="100">
        <v>3.0</v>
      </c>
      <c r="BK28" s="102" t="s">
        <v>779</v>
      </c>
      <c r="BL28" s="100">
        <v>1.0</v>
      </c>
      <c r="BM28" s="100">
        <v>1.0</v>
      </c>
      <c r="BN28" s="102" t="s">
        <v>780</v>
      </c>
      <c r="BO28" s="100">
        <v>1.0</v>
      </c>
      <c r="BP28" s="100">
        <v>1.0</v>
      </c>
      <c r="BQ28" s="102" t="s">
        <v>731</v>
      </c>
      <c r="BR28" s="100">
        <v>1.0</v>
      </c>
      <c r="BS28" s="100">
        <v>1.0</v>
      </c>
      <c r="BT28" s="102" t="s">
        <v>653</v>
      </c>
      <c r="BU28" s="6" t="s">
        <v>744</v>
      </c>
      <c r="BV28" s="6" t="s">
        <v>745</v>
      </c>
      <c r="BW28" s="6" t="s">
        <v>746</v>
      </c>
      <c r="BX28" s="6" t="s">
        <v>747</v>
      </c>
    </row>
    <row r="29">
      <c r="A29" s="6" t="s">
        <v>158</v>
      </c>
      <c r="B29" s="72"/>
      <c r="C29" s="6" t="s">
        <v>416</v>
      </c>
      <c r="D29" s="6" t="s">
        <v>671</v>
      </c>
      <c r="E29" s="97">
        <v>0.249664</v>
      </c>
      <c r="F29" s="97">
        <v>0.3</v>
      </c>
      <c r="G29" s="99" t="s">
        <v>774</v>
      </c>
      <c r="H29" s="6" t="s">
        <v>637</v>
      </c>
      <c r="I29" s="6" t="s">
        <v>589</v>
      </c>
      <c r="J29" s="6" t="s">
        <v>589</v>
      </c>
      <c r="K29" s="6" t="s">
        <v>637</v>
      </c>
      <c r="L29" s="6" t="s">
        <v>589</v>
      </c>
      <c r="M29" s="6" t="s">
        <v>637</v>
      </c>
      <c r="N29" s="6" t="s">
        <v>589</v>
      </c>
      <c r="O29" s="6" t="s">
        <v>589</v>
      </c>
      <c r="P29" s="6" t="s">
        <v>589</v>
      </c>
      <c r="Q29" s="6" t="b">
        <v>1</v>
      </c>
      <c r="R29" s="6" t="s">
        <v>675</v>
      </c>
      <c r="S29" s="6">
        <v>0.0</v>
      </c>
      <c r="T29" s="100">
        <v>2.0</v>
      </c>
      <c r="U29" s="101">
        <v>0.254359</v>
      </c>
      <c r="V29" s="100">
        <v>3.0</v>
      </c>
      <c r="W29" s="100">
        <v>0.249664</v>
      </c>
      <c r="X29" s="100">
        <v>0.3</v>
      </c>
      <c r="Y29" s="102" t="s">
        <v>712</v>
      </c>
      <c r="Z29" s="102" t="s">
        <v>607</v>
      </c>
      <c r="AA29" s="102" t="s">
        <v>774</v>
      </c>
      <c r="AB29" s="100">
        <v>0.2</v>
      </c>
      <c r="AC29" s="102" t="s">
        <v>610</v>
      </c>
      <c r="AD29" s="102" t="s">
        <v>678</v>
      </c>
      <c r="AE29" s="102" t="s">
        <v>613</v>
      </c>
      <c r="AF29" s="102" t="s">
        <v>613</v>
      </c>
      <c r="AG29" s="100">
        <v>0.428572</v>
      </c>
      <c r="AH29" s="100">
        <v>0.0</v>
      </c>
      <c r="AI29" s="100">
        <v>0.0</v>
      </c>
      <c r="AJ29" s="100">
        <v>3.8924</v>
      </c>
      <c r="AK29" s="100">
        <v>0.010949</v>
      </c>
      <c r="AL29" s="100">
        <v>2.7E-5</v>
      </c>
      <c r="AM29" s="100">
        <v>5.9E-5</v>
      </c>
      <c r="AN29" s="100">
        <v>0.01266</v>
      </c>
      <c r="AO29" s="100">
        <v>0.015495</v>
      </c>
      <c r="AP29" s="100">
        <v>0.028155</v>
      </c>
      <c r="AQ29" s="100">
        <v>0.05272</v>
      </c>
      <c r="AR29" s="100">
        <v>0.429029</v>
      </c>
      <c r="AS29" s="100">
        <v>4.321429</v>
      </c>
      <c r="AT29" s="100">
        <v>2.0</v>
      </c>
      <c r="AU29" s="100">
        <v>2.0</v>
      </c>
      <c r="AV29" s="102" t="s">
        <v>775</v>
      </c>
      <c r="AW29" s="100">
        <v>1.0</v>
      </c>
      <c r="AX29" s="100">
        <v>1.0</v>
      </c>
      <c r="AY29" s="102" t="s">
        <v>776</v>
      </c>
      <c r="AZ29" s="100">
        <v>1.0</v>
      </c>
      <c r="BA29" s="100">
        <v>1.0</v>
      </c>
      <c r="BB29" s="102" t="s">
        <v>682</v>
      </c>
      <c r="BC29" s="100">
        <v>2.0</v>
      </c>
      <c r="BD29" s="100">
        <v>2.0</v>
      </c>
      <c r="BE29" s="102" t="s">
        <v>777</v>
      </c>
      <c r="BF29" s="100">
        <v>1.0</v>
      </c>
      <c r="BG29" s="100">
        <v>1.0</v>
      </c>
      <c r="BH29" s="102" t="s">
        <v>778</v>
      </c>
      <c r="BI29" s="100">
        <v>3.0</v>
      </c>
      <c r="BJ29" s="100">
        <v>3.0</v>
      </c>
      <c r="BK29" s="102" t="s">
        <v>779</v>
      </c>
      <c r="BL29" s="100">
        <v>1.0</v>
      </c>
      <c r="BM29" s="100">
        <v>1.0</v>
      </c>
      <c r="BN29" s="102" t="s">
        <v>780</v>
      </c>
      <c r="BO29" s="100">
        <v>1.0</v>
      </c>
      <c r="BP29" s="100">
        <v>1.0</v>
      </c>
      <c r="BQ29" s="102" t="s">
        <v>731</v>
      </c>
      <c r="BR29" s="100">
        <v>1.0</v>
      </c>
      <c r="BS29" s="100">
        <v>1.0</v>
      </c>
      <c r="BT29" s="102" t="s">
        <v>653</v>
      </c>
      <c r="BU29" s="6" t="s">
        <v>753</v>
      </c>
      <c r="BV29" s="6" t="s">
        <v>754</v>
      </c>
      <c r="BW29" s="6" t="s">
        <v>755</v>
      </c>
      <c r="BX29" s="6" t="s">
        <v>756</v>
      </c>
    </row>
    <row r="30">
      <c r="A30" s="6" t="s">
        <v>158</v>
      </c>
      <c r="B30" s="110"/>
      <c r="C30" s="6" t="s">
        <v>420</v>
      </c>
      <c r="D30" s="6" t="s">
        <v>673</v>
      </c>
      <c r="E30" s="97">
        <v>0.10468</v>
      </c>
      <c r="F30" s="97">
        <v>0.5</v>
      </c>
      <c r="G30" s="99" t="s">
        <v>701</v>
      </c>
      <c r="H30" s="6" t="s">
        <v>702</v>
      </c>
      <c r="I30" s="6" t="s">
        <v>588</v>
      </c>
      <c r="J30" s="6" t="s">
        <v>588</v>
      </c>
      <c r="K30" s="6" t="s">
        <v>702</v>
      </c>
      <c r="L30" s="6" t="s">
        <v>588</v>
      </c>
      <c r="M30" s="6" t="s">
        <v>768</v>
      </c>
      <c r="N30" s="6" t="s">
        <v>588</v>
      </c>
      <c r="O30" s="6" t="s">
        <v>588</v>
      </c>
      <c r="P30" s="6" t="s">
        <v>588</v>
      </c>
      <c r="Q30" s="6" t="b">
        <v>0</v>
      </c>
      <c r="R30" s="6" t="s">
        <v>786</v>
      </c>
      <c r="S30" s="6">
        <v>5.0</v>
      </c>
      <c r="T30" s="107">
        <v>4.0</v>
      </c>
      <c r="U30" s="101">
        <v>0.15454</v>
      </c>
      <c r="V30" s="100">
        <v>4.0</v>
      </c>
      <c r="W30" s="100">
        <v>0.10468</v>
      </c>
      <c r="X30" s="100">
        <v>0.5</v>
      </c>
      <c r="Y30" s="102" t="s">
        <v>641</v>
      </c>
      <c r="Z30" s="102" t="s">
        <v>694</v>
      </c>
      <c r="AA30" s="102" t="s">
        <v>701</v>
      </c>
      <c r="AB30" s="100">
        <v>0.5</v>
      </c>
      <c r="AC30" s="102" t="s">
        <v>678</v>
      </c>
      <c r="AD30" s="102" t="s">
        <v>613</v>
      </c>
      <c r="AE30" s="102" t="s">
        <v>613</v>
      </c>
      <c r="AF30" s="102" t="s">
        <v>613</v>
      </c>
      <c r="AG30" s="100">
        <v>0.0</v>
      </c>
      <c r="AH30" s="100">
        <v>0.0</v>
      </c>
      <c r="AI30" s="100">
        <v>0.0</v>
      </c>
      <c r="AJ30" s="100">
        <v>3.8924</v>
      </c>
      <c r="AK30" s="100">
        <v>0.015407</v>
      </c>
      <c r="AL30" s="100">
        <v>2.1E-5</v>
      </c>
      <c r="AM30" s="100">
        <v>4.4E-5</v>
      </c>
      <c r="AN30" s="100">
        <v>0.008215</v>
      </c>
      <c r="AO30" s="100">
        <v>0.009114</v>
      </c>
      <c r="AP30" s="100">
        <v>0.017329</v>
      </c>
      <c r="AQ30" s="100">
        <v>0.044832</v>
      </c>
      <c r="AR30" s="100">
        <v>0.429029</v>
      </c>
      <c r="AS30" s="100">
        <v>4.321429</v>
      </c>
      <c r="AT30" s="100">
        <v>2.0</v>
      </c>
      <c r="AU30" s="100">
        <v>0.0</v>
      </c>
      <c r="AV30" s="102"/>
      <c r="AW30" s="100">
        <v>1.0</v>
      </c>
      <c r="AX30" s="100">
        <v>0.0</v>
      </c>
      <c r="AY30" s="102"/>
      <c r="AZ30" s="100">
        <v>1.0</v>
      </c>
      <c r="BA30" s="100">
        <v>0.0</v>
      </c>
      <c r="BB30" s="102"/>
      <c r="BC30" s="100">
        <v>2.0</v>
      </c>
      <c r="BD30" s="100">
        <v>0.0</v>
      </c>
      <c r="BE30" s="102"/>
      <c r="BF30" s="100">
        <v>1.0</v>
      </c>
      <c r="BG30" s="100">
        <v>0.0</v>
      </c>
      <c r="BH30" s="102"/>
      <c r="BI30" s="100">
        <v>3.0</v>
      </c>
      <c r="BJ30" s="100">
        <v>0.0</v>
      </c>
      <c r="BK30" s="102"/>
      <c r="BL30" s="100">
        <v>1.0</v>
      </c>
      <c r="BM30" s="100">
        <v>0.0</v>
      </c>
      <c r="BN30" s="102"/>
      <c r="BO30" s="100">
        <v>1.0</v>
      </c>
      <c r="BP30" s="100">
        <v>0.0</v>
      </c>
      <c r="BQ30" s="102"/>
      <c r="BR30" s="100">
        <v>1.0</v>
      </c>
      <c r="BS30" s="100">
        <v>0.0</v>
      </c>
      <c r="BT30" s="102"/>
      <c r="BU30" s="109" t="s">
        <v>766</v>
      </c>
      <c r="BV30" s="109" t="s">
        <v>769</v>
      </c>
      <c r="BW30" s="109" t="s">
        <v>770</v>
      </c>
      <c r="BX30" s="109" t="s">
        <v>771</v>
      </c>
    </row>
    <row r="31">
      <c r="A31" s="6" t="s">
        <v>158</v>
      </c>
      <c r="C31" s="6" t="s">
        <v>426</v>
      </c>
      <c r="D31" s="6" t="s">
        <v>674</v>
      </c>
      <c r="E31" s="97">
        <v>0.10468</v>
      </c>
      <c r="F31" s="97">
        <v>0.3</v>
      </c>
      <c r="G31" s="99" t="s">
        <v>660</v>
      </c>
      <c r="H31" s="6" t="s">
        <v>702</v>
      </c>
      <c r="I31" s="6" t="s">
        <v>588</v>
      </c>
      <c r="J31" s="6" t="s">
        <v>588</v>
      </c>
      <c r="K31" s="6" t="s">
        <v>702</v>
      </c>
      <c r="L31" s="6" t="s">
        <v>588</v>
      </c>
      <c r="M31" s="6" t="s">
        <v>768</v>
      </c>
      <c r="N31" s="6" t="s">
        <v>588</v>
      </c>
      <c r="O31" s="6" t="s">
        <v>588</v>
      </c>
      <c r="P31" s="6" t="s">
        <v>588</v>
      </c>
      <c r="Q31" s="6" t="b">
        <v>0</v>
      </c>
      <c r="R31" s="6" t="s">
        <v>786</v>
      </c>
      <c r="S31" s="6">
        <v>5.0</v>
      </c>
      <c r="T31" s="100">
        <v>4.0</v>
      </c>
      <c r="U31" s="101">
        <v>0.122672</v>
      </c>
      <c r="V31" s="100">
        <v>5.0</v>
      </c>
      <c r="W31" s="100">
        <v>0.10468</v>
      </c>
      <c r="X31" s="100">
        <v>0.3</v>
      </c>
      <c r="Y31" s="102" t="s">
        <v>641</v>
      </c>
      <c r="Z31" s="102" t="s">
        <v>607</v>
      </c>
      <c r="AA31" s="102" t="s">
        <v>660</v>
      </c>
      <c r="AB31" s="100">
        <v>0.2</v>
      </c>
      <c r="AC31" s="102" t="s">
        <v>610</v>
      </c>
      <c r="AD31" s="102" t="s">
        <v>613</v>
      </c>
      <c r="AE31" s="102" t="s">
        <v>613</v>
      </c>
      <c r="AF31" s="102" t="s">
        <v>613</v>
      </c>
      <c r="AG31" s="100">
        <v>0.0</v>
      </c>
      <c r="AH31" s="100">
        <v>0.0</v>
      </c>
      <c r="AI31" s="100">
        <v>0.0</v>
      </c>
      <c r="AJ31" s="100">
        <v>3.8924</v>
      </c>
      <c r="AK31" s="100">
        <v>0.031116</v>
      </c>
      <c r="AL31" s="100">
        <v>2.8E-5</v>
      </c>
      <c r="AM31" s="100">
        <v>6.0E-5</v>
      </c>
      <c r="AN31" s="100">
        <v>0.014651</v>
      </c>
      <c r="AO31" s="100">
        <v>0.012886</v>
      </c>
      <c r="AP31" s="100">
        <v>0.027537</v>
      </c>
      <c r="AQ31" s="100">
        <v>0.075992</v>
      </c>
      <c r="AR31" s="100">
        <v>0.429029</v>
      </c>
      <c r="AS31" s="100">
        <v>4.321429</v>
      </c>
      <c r="AT31" s="100">
        <v>2.0</v>
      </c>
      <c r="AU31" s="100">
        <v>0.0</v>
      </c>
      <c r="AV31" s="102"/>
      <c r="AW31" s="100">
        <v>1.0</v>
      </c>
      <c r="AX31" s="100">
        <v>0.0</v>
      </c>
      <c r="AY31" s="102"/>
      <c r="AZ31" s="100">
        <v>1.0</v>
      </c>
      <c r="BA31" s="100">
        <v>0.0</v>
      </c>
      <c r="BB31" s="102"/>
      <c r="BC31" s="100">
        <v>2.0</v>
      </c>
      <c r="BD31" s="100">
        <v>0.0</v>
      </c>
      <c r="BE31" s="102"/>
      <c r="BF31" s="100">
        <v>1.0</v>
      </c>
      <c r="BG31" s="100">
        <v>0.0</v>
      </c>
      <c r="BH31" s="102"/>
      <c r="BI31" s="100">
        <v>3.0</v>
      </c>
      <c r="BJ31" s="100">
        <v>0.0</v>
      </c>
      <c r="BK31" s="102"/>
      <c r="BL31" s="100">
        <v>1.0</v>
      </c>
      <c r="BM31" s="100">
        <v>0.0</v>
      </c>
      <c r="BN31" s="102"/>
      <c r="BO31" s="100">
        <v>1.0</v>
      </c>
      <c r="BP31" s="100">
        <v>0.0</v>
      </c>
      <c r="BQ31" s="102"/>
      <c r="BR31" s="100">
        <v>1.0</v>
      </c>
      <c r="BS31" s="100">
        <v>0.0</v>
      </c>
      <c r="BT31" s="102"/>
      <c r="BU31" s="109" t="s">
        <v>781</v>
      </c>
      <c r="BV31" s="109" t="s">
        <v>782</v>
      </c>
      <c r="BW31" s="109" t="s">
        <v>783</v>
      </c>
      <c r="BX31" s="109" t="s">
        <v>784</v>
      </c>
    </row>
    <row r="32">
      <c r="B32" s="73" t="str">
        <f>IFERROR(VLOOKUP(A32,Projetos!$A$2:$C$8,2,FALSE),"")
</f>
        <v/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</row>
    <row r="33"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</row>
    <row r="34">
      <c r="B34" s="9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</row>
    <row r="35">
      <c r="B35" s="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</row>
    <row r="36">
      <c r="B36" s="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</row>
  </sheetData>
  <conditionalFormatting sqref="Q1:Q6">
    <cfRule type="colorScale" priority="1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92" t="s">
        <v>579</v>
      </c>
      <c r="E1" s="93" t="s">
        <v>580</v>
      </c>
      <c r="H1" s="94" t="s">
        <v>581</v>
      </c>
    </row>
    <row r="2">
      <c r="A2" s="95" t="s">
        <v>13</v>
      </c>
      <c r="B2" s="95" t="s">
        <v>523</v>
      </c>
      <c r="C2" s="96" t="s">
        <v>63</v>
      </c>
      <c r="D2" s="8" t="s">
        <v>207</v>
      </c>
      <c r="E2" s="96"/>
      <c r="F2" s="96"/>
      <c r="G2" s="96"/>
      <c r="H2" s="98" t="s">
        <v>583</v>
      </c>
      <c r="I2" s="98" t="s">
        <v>585</v>
      </c>
      <c r="J2" s="8" t="s">
        <v>587</v>
      </c>
      <c r="K2" s="8" t="s">
        <v>590</v>
      </c>
      <c r="L2" s="8" t="s">
        <v>591</v>
      </c>
      <c r="M2" s="8" t="s">
        <v>592</v>
      </c>
      <c r="N2" s="8" t="s">
        <v>593</v>
      </c>
      <c r="O2" s="8" t="s">
        <v>595</v>
      </c>
      <c r="P2" s="8" t="s">
        <v>596</v>
      </c>
      <c r="Q2" s="8" t="s">
        <v>597</v>
      </c>
      <c r="R2" s="8" t="s">
        <v>598</v>
      </c>
      <c r="S2" s="8" t="s">
        <v>599</v>
      </c>
      <c r="T2" s="8" t="s">
        <v>600</v>
      </c>
      <c r="U2" s="8" t="s">
        <v>601</v>
      </c>
      <c r="V2" s="8" t="s">
        <v>604</v>
      </c>
      <c r="W2" s="8" t="s">
        <v>605</v>
      </c>
      <c r="X2" s="8" t="s">
        <v>608</v>
      </c>
      <c r="Y2" s="8" t="s">
        <v>609</v>
      </c>
      <c r="Z2" s="8" t="s">
        <v>611</v>
      </c>
      <c r="AA2" s="96"/>
      <c r="AB2" s="96"/>
    </row>
    <row r="3">
      <c r="A3" s="102" t="s">
        <v>81</v>
      </c>
      <c r="B3" s="102" t="s">
        <v>582</v>
      </c>
      <c r="C3" s="73">
        <v>3.0</v>
      </c>
      <c r="D3" s="73">
        <v>2.0</v>
      </c>
      <c r="E3" s="103" t="s">
        <v>615</v>
      </c>
      <c r="H3" s="104" t="s">
        <v>81</v>
      </c>
      <c r="I3" s="104">
        <v>5.0</v>
      </c>
      <c r="J3" s="6">
        <v>0.737864787372621</v>
      </c>
      <c r="K3" s="6">
        <v>0.848874687627165</v>
      </c>
      <c r="L3" s="6">
        <v>0.987061105282214</v>
      </c>
      <c r="M3" s="6">
        <v>1.0</v>
      </c>
      <c r="N3" s="6">
        <v>1.0</v>
      </c>
      <c r="O3" s="6">
        <v>0.6</v>
      </c>
      <c r="P3" s="6">
        <v>2.0</v>
      </c>
      <c r="Q3" s="6">
        <v>0.4</v>
      </c>
      <c r="R3" s="6">
        <v>5.0</v>
      </c>
      <c r="S3" s="6">
        <v>1.0</v>
      </c>
      <c r="T3" s="6">
        <v>1.0</v>
      </c>
      <c r="U3" s="6">
        <v>0.0</v>
      </c>
    </row>
    <row r="4">
      <c r="A4" s="102" t="s">
        <v>81</v>
      </c>
      <c r="B4" s="102" t="s">
        <v>620</v>
      </c>
      <c r="C4" s="73">
        <v>4.0</v>
      </c>
      <c r="D4" s="73">
        <v>5.0</v>
      </c>
      <c r="H4" s="104" t="s">
        <v>104</v>
      </c>
      <c r="I4" s="104">
        <v>5.0</v>
      </c>
      <c r="J4" s="6">
        <v>0.105409255338945</v>
      </c>
      <c r="K4" s="6">
        <v>0.138675049056307</v>
      </c>
      <c r="L4" s="6">
        <v>0.831410999378816</v>
      </c>
      <c r="M4" s="6">
        <v>0.0</v>
      </c>
      <c r="N4" s="6">
        <v>0.5</v>
      </c>
      <c r="O4" s="6">
        <v>1.2</v>
      </c>
      <c r="P4" s="6">
        <v>2.0</v>
      </c>
      <c r="Q4" s="6">
        <v>0.4</v>
      </c>
      <c r="R4" s="6">
        <v>3.0</v>
      </c>
      <c r="S4" s="6">
        <v>0.6</v>
      </c>
      <c r="T4" s="6">
        <v>0.0</v>
      </c>
      <c r="U4" s="6">
        <v>0.0</v>
      </c>
    </row>
    <row r="5">
      <c r="A5" s="102" t="s">
        <v>81</v>
      </c>
      <c r="B5" s="102" t="s">
        <v>621</v>
      </c>
      <c r="C5" s="73">
        <v>4.0</v>
      </c>
      <c r="D5" s="73">
        <v>4.0</v>
      </c>
      <c r="H5" s="104" t="s">
        <v>124</v>
      </c>
      <c r="I5" s="104">
        <v>5.0</v>
      </c>
      <c r="J5" s="6">
        <v>0.223606797749978</v>
      </c>
      <c r="K5" s="6">
        <v>0.316227766016837</v>
      </c>
      <c r="L5" s="6">
        <v>0.967913892728774</v>
      </c>
      <c r="M5" s="6">
        <v>1.0</v>
      </c>
      <c r="N5" s="6">
        <v>1.0</v>
      </c>
      <c r="O5" s="6">
        <v>1.4</v>
      </c>
      <c r="P5" s="6">
        <v>1.0</v>
      </c>
      <c r="Q5" s="6">
        <v>0.2</v>
      </c>
      <c r="R5" s="6">
        <v>3.0</v>
      </c>
      <c r="S5" s="6">
        <v>0.6</v>
      </c>
      <c r="T5" s="6">
        <v>1.0</v>
      </c>
      <c r="U5" s="6">
        <v>0.0</v>
      </c>
    </row>
    <row r="6">
      <c r="A6" s="102" t="s">
        <v>81</v>
      </c>
      <c r="B6" s="102" t="s">
        <v>622</v>
      </c>
      <c r="C6" s="73">
        <v>1.0</v>
      </c>
      <c r="D6" s="73">
        <v>1.0</v>
      </c>
      <c r="H6" s="104" t="s">
        <v>134</v>
      </c>
      <c r="I6" s="104">
        <v>5.0</v>
      </c>
      <c r="J6" s="6">
        <v>0.737864787372621</v>
      </c>
      <c r="K6" s="6">
        <v>0.832050294337843</v>
      </c>
      <c r="L6" s="6">
        <v>0.997879719224394</v>
      </c>
      <c r="M6" s="6">
        <v>1.0</v>
      </c>
      <c r="N6" s="6">
        <v>1.0</v>
      </c>
      <c r="O6" s="6">
        <v>0.4</v>
      </c>
      <c r="P6" s="6">
        <v>4.0</v>
      </c>
      <c r="Q6" s="6">
        <v>0.8</v>
      </c>
      <c r="R6" s="6">
        <v>4.0</v>
      </c>
      <c r="S6" s="6">
        <v>0.8</v>
      </c>
      <c r="T6" s="6">
        <v>1.0</v>
      </c>
      <c r="U6" s="6">
        <v>0.0</v>
      </c>
    </row>
    <row r="7">
      <c r="A7" s="102" t="s">
        <v>81</v>
      </c>
      <c r="B7" s="102" t="s">
        <v>623</v>
      </c>
      <c r="C7" s="73">
        <v>2.0</v>
      </c>
      <c r="D7" s="73">
        <v>3.0</v>
      </c>
      <c r="H7" s="104" t="s">
        <v>142</v>
      </c>
      <c r="I7" s="104">
        <v>5.0</v>
      </c>
      <c r="J7" s="6">
        <v>0.527046276694729</v>
      </c>
      <c r="K7" s="6">
        <v>0.606339062590832</v>
      </c>
      <c r="L7" s="6">
        <v>0.966455234170518</v>
      </c>
      <c r="M7" s="6">
        <v>1.0</v>
      </c>
      <c r="N7" s="6">
        <v>1.0</v>
      </c>
      <c r="O7" s="6">
        <v>1.0</v>
      </c>
      <c r="P7" s="6">
        <v>1.0</v>
      </c>
      <c r="Q7" s="6">
        <v>0.2</v>
      </c>
      <c r="R7" s="6">
        <v>4.0</v>
      </c>
      <c r="S7" s="6">
        <v>0.8</v>
      </c>
      <c r="T7" s="6">
        <v>1.0</v>
      </c>
      <c r="U7" s="6">
        <v>0.0</v>
      </c>
    </row>
    <row r="8">
      <c r="A8" s="102" t="s">
        <v>104</v>
      </c>
      <c r="B8" s="102" t="s">
        <v>624</v>
      </c>
      <c r="C8" s="73">
        <v>1.0</v>
      </c>
      <c r="D8" s="73">
        <v>2.0</v>
      </c>
      <c r="H8" s="104" t="s">
        <v>158</v>
      </c>
      <c r="I8" s="104">
        <v>5.0</v>
      </c>
      <c r="J8" s="6">
        <v>0.894427190999915</v>
      </c>
      <c r="K8" s="6">
        <v>0.929669680201368</v>
      </c>
      <c r="L8" s="6">
        <v>1.0</v>
      </c>
      <c r="M8" s="6">
        <v>1.0</v>
      </c>
      <c r="N8" s="6">
        <v>1.0</v>
      </c>
      <c r="O8" s="6">
        <v>0.4</v>
      </c>
      <c r="P8" s="6">
        <v>3.0</v>
      </c>
      <c r="Q8" s="6">
        <v>0.6</v>
      </c>
      <c r="R8" s="6">
        <v>5.0</v>
      </c>
      <c r="S8" s="6">
        <v>1.0</v>
      </c>
      <c r="T8" s="6">
        <v>1.0</v>
      </c>
      <c r="U8" s="6">
        <v>0.0</v>
      </c>
    </row>
    <row r="9">
      <c r="A9" s="102" t="s">
        <v>104</v>
      </c>
      <c r="B9" s="102" t="s">
        <v>625</v>
      </c>
      <c r="C9" s="73">
        <v>2.0</v>
      </c>
      <c r="D9" s="73">
        <v>5.0</v>
      </c>
      <c r="H9" s="104" t="s">
        <v>626</v>
      </c>
      <c r="I9" s="104">
        <v>30.0</v>
      </c>
      <c r="J9" s="6">
        <v>0.537703182588135</v>
      </c>
      <c r="K9" s="6">
        <v>0.611972756638392</v>
      </c>
      <c r="L9" s="6">
        <v>0.958453491797453</v>
      </c>
      <c r="M9" s="6">
        <v>0.833333333333333</v>
      </c>
      <c r="N9" s="6">
        <v>0.916666666666666</v>
      </c>
      <c r="O9" s="6">
        <v>0.833333333333333</v>
      </c>
      <c r="P9" s="6">
        <v>13.0</v>
      </c>
      <c r="Q9" s="6">
        <v>0.433333333333333</v>
      </c>
      <c r="R9" s="6">
        <v>24.0</v>
      </c>
      <c r="S9" s="6">
        <v>0.8</v>
      </c>
      <c r="T9" s="6">
        <v>0.833333333333333</v>
      </c>
      <c r="U9" s="6">
        <v>0.0</v>
      </c>
      <c r="V9" s="6" t="s">
        <v>627</v>
      </c>
      <c r="W9" s="6">
        <v>5.0</v>
      </c>
      <c r="X9" s="6">
        <v>5.0</v>
      </c>
      <c r="Y9" s="6">
        <v>0.0</v>
      </c>
      <c r="Z9" s="6">
        <v>6.0</v>
      </c>
    </row>
    <row r="10">
      <c r="A10" s="102" t="s">
        <v>104</v>
      </c>
      <c r="B10" s="102" t="s">
        <v>628</v>
      </c>
      <c r="C10" s="73">
        <v>3.0</v>
      </c>
      <c r="D10" s="73">
        <v>3.0</v>
      </c>
    </row>
    <row r="11">
      <c r="A11" s="102" t="s">
        <v>104</v>
      </c>
      <c r="B11" s="102" t="s">
        <v>629</v>
      </c>
      <c r="C11" s="73">
        <v>4.0</v>
      </c>
      <c r="D11" s="73">
        <v>4.0</v>
      </c>
      <c r="H11" s="8" t="s">
        <v>630</v>
      </c>
    </row>
    <row r="12">
      <c r="A12" s="102" t="s">
        <v>104</v>
      </c>
      <c r="B12" s="102" t="s">
        <v>632</v>
      </c>
      <c r="C12" s="73">
        <v>3.0</v>
      </c>
      <c r="D12" s="73">
        <v>1.0</v>
      </c>
      <c r="H12" s="6" t="s">
        <v>633</v>
      </c>
    </row>
    <row r="13">
      <c r="A13" s="102" t="s">
        <v>124</v>
      </c>
      <c r="B13" s="102" t="s">
        <v>634</v>
      </c>
      <c r="C13" s="73">
        <v>3.0</v>
      </c>
      <c r="D13" s="73">
        <v>1.0</v>
      </c>
      <c r="H13" s="6"/>
      <c r="I13" s="6"/>
      <c r="J13" s="6"/>
      <c r="K13" s="6"/>
    </row>
    <row r="14">
      <c r="A14" s="102" t="s">
        <v>124</v>
      </c>
      <c r="B14" s="102" t="s">
        <v>636</v>
      </c>
      <c r="C14" s="73">
        <v>5.0</v>
      </c>
      <c r="D14" s="73">
        <v>2.0</v>
      </c>
      <c r="H14" s="8" t="s">
        <v>638</v>
      </c>
      <c r="I14" s="6"/>
      <c r="J14" s="6"/>
      <c r="K14" s="6"/>
    </row>
    <row r="15">
      <c r="A15" s="102" t="s">
        <v>124</v>
      </c>
      <c r="B15" s="102" t="s">
        <v>639</v>
      </c>
      <c r="C15" s="73">
        <v>4.0</v>
      </c>
      <c r="D15" s="73">
        <v>3.0</v>
      </c>
      <c r="H15" s="103" t="s">
        <v>640</v>
      </c>
    </row>
    <row r="16">
      <c r="A16" s="102" t="s">
        <v>124</v>
      </c>
      <c r="B16" s="102" t="s">
        <v>643</v>
      </c>
      <c r="C16" s="73">
        <v>3.0</v>
      </c>
      <c r="D16" s="73">
        <v>4.0</v>
      </c>
    </row>
    <row r="17">
      <c r="A17" s="102" t="s">
        <v>124</v>
      </c>
      <c r="B17" s="102" t="s">
        <v>644</v>
      </c>
      <c r="C17" s="73">
        <v>5.0</v>
      </c>
      <c r="D17" s="73">
        <v>5.0</v>
      </c>
    </row>
    <row r="18">
      <c r="A18" s="102" t="s">
        <v>134</v>
      </c>
      <c r="B18" s="102" t="s">
        <v>645</v>
      </c>
      <c r="C18" s="73">
        <v>2.0</v>
      </c>
      <c r="D18" s="73">
        <v>2.0</v>
      </c>
    </row>
    <row r="19">
      <c r="A19" s="102" t="s">
        <v>134</v>
      </c>
      <c r="B19" s="102" t="s">
        <v>646</v>
      </c>
      <c r="C19" s="73">
        <v>3.0</v>
      </c>
      <c r="D19" s="73">
        <v>3.0</v>
      </c>
    </row>
    <row r="20">
      <c r="A20" s="102" t="s">
        <v>134</v>
      </c>
      <c r="B20" s="102" t="s">
        <v>647</v>
      </c>
      <c r="C20" s="73">
        <v>1.0</v>
      </c>
      <c r="D20" s="73">
        <v>1.0</v>
      </c>
    </row>
    <row r="21">
      <c r="A21" s="102" t="s">
        <v>134</v>
      </c>
      <c r="B21" s="102" t="s">
        <v>648</v>
      </c>
      <c r="C21" s="73">
        <v>3.0</v>
      </c>
      <c r="D21" s="73">
        <v>5.0</v>
      </c>
    </row>
    <row r="22">
      <c r="A22" s="102" t="s">
        <v>134</v>
      </c>
      <c r="B22" s="102" t="s">
        <v>650</v>
      </c>
      <c r="C22" s="73">
        <v>4.0</v>
      </c>
      <c r="D22" s="73">
        <v>4.0</v>
      </c>
    </row>
    <row r="23">
      <c r="A23" s="102" t="s">
        <v>142</v>
      </c>
      <c r="B23" s="102" t="s">
        <v>651</v>
      </c>
      <c r="C23" s="73">
        <v>5.0</v>
      </c>
      <c r="D23" s="73">
        <v>5.0</v>
      </c>
    </row>
    <row r="24">
      <c r="A24" s="102" t="s">
        <v>142</v>
      </c>
      <c r="B24" s="102" t="s">
        <v>652</v>
      </c>
      <c r="C24" s="73">
        <v>2.0</v>
      </c>
      <c r="D24" s="73">
        <v>1.0</v>
      </c>
      <c r="H24" s="8" t="s">
        <v>654</v>
      </c>
    </row>
    <row r="25">
      <c r="A25" s="102" t="s">
        <v>142</v>
      </c>
      <c r="B25" s="102" t="s">
        <v>658</v>
      </c>
      <c r="C25" s="73">
        <v>3.0</v>
      </c>
      <c r="D25" s="73">
        <v>2.0</v>
      </c>
      <c r="H25" s="103" t="s">
        <v>662</v>
      </c>
    </row>
    <row r="26">
      <c r="A26" s="102" t="s">
        <v>142</v>
      </c>
      <c r="B26" s="102" t="s">
        <v>665</v>
      </c>
      <c r="C26" s="73">
        <v>2.0</v>
      </c>
      <c r="D26" s="73">
        <v>4.0</v>
      </c>
    </row>
    <row r="27">
      <c r="A27" s="102" t="s">
        <v>142</v>
      </c>
      <c r="B27" s="102" t="s">
        <v>667</v>
      </c>
      <c r="C27" s="73">
        <v>4.0</v>
      </c>
      <c r="D27" s="73">
        <v>3.0</v>
      </c>
    </row>
    <row r="28">
      <c r="A28" s="102" t="s">
        <v>158</v>
      </c>
      <c r="B28" s="102" t="s">
        <v>668</v>
      </c>
      <c r="C28" s="73">
        <v>2.0</v>
      </c>
      <c r="D28" s="73">
        <v>2.0</v>
      </c>
    </row>
    <row r="29">
      <c r="A29" s="102" t="s">
        <v>158</v>
      </c>
      <c r="B29" s="102" t="s">
        <v>669</v>
      </c>
      <c r="C29" s="73">
        <v>1.0</v>
      </c>
      <c r="D29" s="73">
        <v>1.0</v>
      </c>
      <c r="H29" s="6" t="s">
        <v>670</v>
      </c>
    </row>
    <row r="30">
      <c r="A30" s="102" t="s">
        <v>158</v>
      </c>
      <c r="B30" s="102" t="s">
        <v>671</v>
      </c>
      <c r="C30" s="73">
        <v>2.0</v>
      </c>
      <c r="D30" s="73">
        <v>3.0</v>
      </c>
    </row>
    <row r="31">
      <c r="A31" s="102" t="s">
        <v>158</v>
      </c>
      <c r="B31" s="102" t="s">
        <v>673</v>
      </c>
      <c r="C31" s="73">
        <v>5.0</v>
      </c>
      <c r="D31" s="73">
        <v>4.0</v>
      </c>
    </row>
    <row r="32">
      <c r="A32" s="102" t="s">
        <v>158</v>
      </c>
      <c r="B32" s="102" t="s">
        <v>674</v>
      </c>
      <c r="C32" s="73">
        <v>5.0</v>
      </c>
      <c r="D32" s="73">
        <v>5.0</v>
      </c>
    </row>
    <row r="33">
      <c r="A33" s="102"/>
      <c r="B33" s="102"/>
    </row>
    <row r="42">
      <c r="A42" s="102"/>
      <c r="B42" s="102"/>
    </row>
    <row r="43">
      <c r="A43" s="102"/>
      <c r="B43" s="102"/>
    </row>
    <row r="44">
      <c r="A44" s="102"/>
      <c r="B44" s="102"/>
    </row>
    <row r="45">
      <c r="A45" s="102"/>
      <c r="B45" s="102"/>
    </row>
    <row r="46">
      <c r="A46" s="102"/>
      <c r="B46" s="102"/>
    </row>
    <row r="47">
      <c r="A47" s="102"/>
      <c r="B47" s="102"/>
    </row>
    <row r="48">
      <c r="A48" s="102"/>
      <c r="B48" s="102"/>
    </row>
    <row r="49">
      <c r="A49" s="102"/>
      <c r="B49" s="102"/>
    </row>
    <row r="50">
      <c r="A50" s="102"/>
      <c r="B50" s="102"/>
    </row>
    <row r="51">
      <c r="A51" s="102"/>
      <c r="B51" s="102"/>
    </row>
    <row r="52">
      <c r="A52" s="102"/>
      <c r="B52" s="102"/>
    </row>
    <row r="53">
      <c r="A53" s="102"/>
      <c r="B53" s="102"/>
    </row>
    <row r="54">
      <c r="A54" s="102"/>
      <c r="B54" s="102"/>
    </row>
    <row r="55">
      <c r="A55" s="102"/>
      <c r="B55" s="102"/>
    </row>
    <row r="56">
      <c r="A56" s="102"/>
      <c r="B56" s="102"/>
    </row>
    <row r="57">
      <c r="A57" s="102"/>
      <c r="B57" s="102"/>
    </row>
    <row r="58">
      <c r="A58" s="102"/>
      <c r="B58" s="102"/>
    </row>
    <row r="59">
      <c r="A59" s="102"/>
      <c r="B59" s="102"/>
    </row>
    <row r="60">
      <c r="A60" s="102"/>
      <c r="B60" s="102"/>
    </row>
    <row r="61">
      <c r="A61" s="102"/>
      <c r="B61" s="102"/>
    </row>
    <row r="62">
      <c r="A62" s="102"/>
      <c r="B62" s="102"/>
    </row>
    <row r="63">
      <c r="A63" s="102"/>
      <c r="B63" s="102"/>
    </row>
    <row r="64">
      <c r="A64" s="102"/>
      <c r="B64" s="102"/>
    </row>
    <row r="65">
      <c r="A65" s="102"/>
      <c r="B65" s="102"/>
    </row>
    <row r="66">
      <c r="A66" s="102"/>
      <c r="B66" s="102"/>
    </row>
    <row r="67">
      <c r="A67" s="102"/>
      <c r="B67" s="102"/>
    </row>
    <row r="68">
      <c r="A68" s="102"/>
      <c r="B68" s="102"/>
    </row>
    <row r="69">
      <c r="A69" s="102"/>
      <c r="B69" s="102"/>
    </row>
    <row r="70">
      <c r="A70" s="102"/>
      <c r="B70" s="102"/>
    </row>
    <row r="71">
      <c r="A71" s="102"/>
      <c r="B71" s="102"/>
    </row>
    <row r="72">
      <c r="A72" s="102"/>
      <c r="B72" s="102"/>
    </row>
    <row r="73">
      <c r="A73" s="102"/>
      <c r="B73" s="102"/>
    </row>
    <row r="74">
      <c r="A74" s="102"/>
      <c r="B74" s="102"/>
    </row>
    <row r="75">
      <c r="A75" s="102"/>
      <c r="B75" s="102"/>
    </row>
    <row r="76">
      <c r="A76" s="102"/>
      <c r="B76" s="102"/>
    </row>
    <row r="77">
      <c r="A77" s="102"/>
      <c r="B77" s="102"/>
    </row>
    <row r="78">
      <c r="A78" s="102"/>
      <c r="B78" s="102"/>
    </row>
    <row r="79">
      <c r="A79" s="102"/>
      <c r="B79" s="102"/>
    </row>
    <row r="80">
      <c r="A80" s="102"/>
      <c r="B80" s="102"/>
    </row>
    <row r="81">
      <c r="A81" s="102"/>
      <c r="B81" s="102"/>
    </row>
    <row r="82">
      <c r="A82" s="102"/>
      <c r="B82" s="102"/>
    </row>
    <row r="83">
      <c r="A83" s="102"/>
      <c r="B83" s="102"/>
    </row>
    <row r="84">
      <c r="A84" s="102"/>
      <c r="B84" s="102"/>
    </row>
    <row r="85">
      <c r="A85" s="102"/>
      <c r="B85" s="102"/>
    </row>
    <row r="86">
      <c r="A86" s="102"/>
      <c r="B86" s="102"/>
    </row>
    <row r="87">
      <c r="A87" s="102"/>
      <c r="B87" s="102"/>
    </row>
    <row r="88">
      <c r="A88" s="102"/>
      <c r="B88" s="102"/>
    </row>
    <row r="89">
      <c r="A89" s="102"/>
      <c r="B89" s="102"/>
    </row>
    <row r="90">
      <c r="A90" s="102"/>
      <c r="B90" s="102"/>
    </row>
    <row r="91">
      <c r="A91" s="102"/>
      <c r="B91" s="102"/>
    </row>
    <row r="92">
      <c r="A92" s="102"/>
      <c r="B92" s="102"/>
    </row>
    <row r="93">
      <c r="A93" s="102"/>
      <c r="B93" s="102"/>
    </row>
    <row r="94">
      <c r="A94" s="102"/>
      <c r="B94" s="102"/>
    </row>
    <row r="95">
      <c r="A95" s="102"/>
      <c r="B95" s="102"/>
    </row>
    <row r="96">
      <c r="A96" s="102"/>
      <c r="B96" s="102"/>
    </row>
    <row r="97">
      <c r="A97" s="102"/>
      <c r="B97" s="102"/>
    </row>
    <row r="98">
      <c r="A98" s="102"/>
      <c r="B98" s="102"/>
    </row>
    <row r="99">
      <c r="A99" s="102"/>
      <c r="B99" s="102"/>
    </row>
    <row r="100">
      <c r="A100" s="102"/>
      <c r="B100" s="102"/>
    </row>
    <row r="101">
      <c r="A101" s="102"/>
      <c r="B101" s="102"/>
    </row>
    <row r="102">
      <c r="A102" s="102"/>
      <c r="B102" s="102"/>
    </row>
    <row r="103">
      <c r="A103" s="102"/>
      <c r="B103" s="102"/>
    </row>
    <row r="104">
      <c r="A104" s="102"/>
      <c r="B104" s="102"/>
    </row>
    <row r="105">
      <c r="A105" s="102"/>
      <c r="B105" s="102"/>
    </row>
    <row r="106">
      <c r="A106" s="102"/>
      <c r="B106" s="102"/>
    </row>
    <row r="107">
      <c r="A107" s="102"/>
      <c r="B107" s="102"/>
    </row>
    <row r="108">
      <c r="A108" s="102"/>
      <c r="B108" s="102"/>
    </row>
    <row r="109">
      <c r="A109" s="102"/>
      <c r="B109" s="102"/>
    </row>
    <row r="110">
      <c r="A110" s="102"/>
      <c r="B110" s="102"/>
    </row>
    <row r="111">
      <c r="A111" s="102"/>
      <c r="B111" s="102"/>
    </row>
    <row r="112">
      <c r="A112" s="102"/>
      <c r="B112" s="102"/>
    </row>
    <row r="113">
      <c r="A113" s="102"/>
      <c r="B113" s="102"/>
    </row>
    <row r="114">
      <c r="A114" s="102"/>
      <c r="B114" s="102"/>
    </row>
    <row r="115">
      <c r="A115" s="102"/>
      <c r="B115" s="102"/>
    </row>
    <row r="116">
      <c r="A116" s="102"/>
      <c r="B116" s="102"/>
    </row>
    <row r="117">
      <c r="A117" s="102"/>
      <c r="B117" s="102"/>
    </row>
    <row r="118">
      <c r="A118" s="102"/>
      <c r="B118" s="102"/>
    </row>
    <row r="119">
      <c r="A119" s="102"/>
      <c r="B119" s="102"/>
    </row>
    <row r="120">
      <c r="A120" s="102"/>
      <c r="B120" s="102"/>
    </row>
    <row r="121">
      <c r="A121" s="102"/>
      <c r="B121" s="102"/>
    </row>
    <row r="122">
      <c r="A122" s="102"/>
      <c r="B122" s="102"/>
    </row>
    <row r="123">
      <c r="A123" s="102"/>
      <c r="B123" s="102"/>
    </row>
    <row r="124">
      <c r="A124" s="102"/>
      <c r="B124" s="102"/>
    </row>
    <row r="125">
      <c r="A125" s="102"/>
      <c r="B125" s="102"/>
    </row>
    <row r="126">
      <c r="A126" s="102"/>
      <c r="B126" s="102"/>
    </row>
    <row r="127">
      <c r="A127" s="102"/>
      <c r="B127" s="102"/>
    </row>
    <row r="128">
      <c r="A128" s="102"/>
      <c r="B128" s="102"/>
    </row>
    <row r="129">
      <c r="A129" s="102"/>
      <c r="B129" s="102"/>
    </row>
    <row r="130">
      <c r="A130" s="102"/>
      <c r="B130" s="102"/>
    </row>
    <row r="131">
      <c r="A131" s="102"/>
      <c r="B131" s="102"/>
    </row>
    <row r="132">
      <c r="A132" s="102"/>
      <c r="B132" s="102"/>
    </row>
    <row r="133">
      <c r="A133" s="102"/>
      <c r="B133" s="102"/>
    </row>
    <row r="134">
      <c r="A134" s="102"/>
      <c r="B134" s="102"/>
    </row>
    <row r="135">
      <c r="A135" s="102"/>
      <c r="B135" s="102"/>
    </row>
    <row r="136">
      <c r="A136" s="102"/>
      <c r="B136" s="102"/>
    </row>
    <row r="137">
      <c r="A137" s="102"/>
      <c r="B137" s="102"/>
    </row>
    <row r="138">
      <c r="A138" s="102"/>
      <c r="B138" s="102"/>
    </row>
    <row r="139">
      <c r="A139" s="102"/>
      <c r="B139" s="102"/>
    </row>
    <row r="140">
      <c r="A140" s="102"/>
      <c r="B140" s="102"/>
    </row>
    <row r="141">
      <c r="A141" s="102"/>
      <c r="B141" s="102"/>
    </row>
    <row r="142">
      <c r="A142" s="102"/>
      <c r="B142" s="102"/>
    </row>
    <row r="143">
      <c r="A143" s="102"/>
      <c r="B143" s="102"/>
    </row>
    <row r="144">
      <c r="A144" s="102"/>
      <c r="B144" s="102"/>
    </row>
    <row r="145">
      <c r="A145" s="102"/>
      <c r="B145" s="102"/>
    </row>
    <row r="146">
      <c r="A146" s="102"/>
      <c r="B146" s="102"/>
    </row>
    <row r="147">
      <c r="A147" s="102"/>
      <c r="B147" s="102"/>
    </row>
    <row r="148">
      <c r="A148" s="102"/>
      <c r="B148" s="102"/>
    </row>
    <row r="149">
      <c r="A149" s="102"/>
      <c r="B149" s="102"/>
    </row>
    <row r="150">
      <c r="A150" s="102"/>
      <c r="B150" s="102"/>
    </row>
    <row r="151">
      <c r="A151" s="102"/>
      <c r="B151" s="102"/>
    </row>
    <row r="152">
      <c r="A152" s="102"/>
      <c r="B152" s="102"/>
    </row>
    <row r="153">
      <c r="A153" s="102"/>
      <c r="B153" s="102"/>
    </row>
    <row r="154">
      <c r="A154" s="102"/>
      <c r="B154" s="102"/>
    </row>
    <row r="155">
      <c r="A155" s="102"/>
      <c r="B155" s="102"/>
    </row>
    <row r="156">
      <c r="A156" s="102"/>
      <c r="B156" s="102"/>
    </row>
    <row r="157">
      <c r="A157" s="102"/>
      <c r="B157" s="102"/>
    </row>
    <row r="158">
      <c r="A158" s="102"/>
      <c r="B158" s="102"/>
    </row>
    <row r="159">
      <c r="A159" s="102"/>
      <c r="B159" s="102"/>
    </row>
    <row r="160">
      <c r="A160" s="102"/>
      <c r="B160" s="102"/>
    </row>
    <row r="161">
      <c r="A161" s="102"/>
      <c r="B161" s="102"/>
    </row>
    <row r="162">
      <c r="A162" s="102"/>
      <c r="B162" s="102"/>
    </row>
    <row r="163">
      <c r="A163" s="102"/>
      <c r="B163" s="102"/>
    </row>
    <row r="164">
      <c r="A164" s="102"/>
      <c r="B164" s="102"/>
    </row>
    <row r="165">
      <c r="A165" s="102"/>
      <c r="B165" s="102"/>
    </row>
    <row r="166">
      <c r="A166" s="102"/>
      <c r="B166" s="102"/>
    </row>
    <row r="167">
      <c r="A167" s="102"/>
      <c r="B167" s="102"/>
    </row>
    <row r="168">
      <c r="A168" s="102"/>
      <c r="B168" s="102"/>
    </row>
    <row r="169">
      <c r="A169" s="102"/>
      <c r="B169" s="102"/>
    </row>
    <row r="170">
      <c r="A170" s="102"/>
      <c r="B170" s="102"/>
    </row>
    <row r="171">
      <c r="A171" s="102"/>
      <c r="B171" s="102"/>
    </row>
    <row r="172">
      <c r="A172" s="102"/>
      <c r="B172" s="102"/>
    </row>
    <row r="173">
      <c r="A173" s="102"/>
      <c r="B173" s="102"/>
    </row>
    <row r="174">
      <c r="A174" s="102"/>
      <c r="B174" s="102"/>
    </row>
    <row r="175">
      <c r="A175" s="102"/>
      <c r="B175" s="102"/>
    </row>
    <row r="176">
      <c r="A176" s="102"/>
      <c r="B176" s="102"/>
    </row>
    <row r="177">
      <c r="A177" s="102"/>
      <c r="B177" s="102"/>
    </row>
    <row r="178">
      <c r="A178" s="102"/>
      <c r="B178" s="102"/>
    </row>
    <row r="179">
      <c r="A179" s="102"/>
      <c r="B179" s="102"/>
    </row>
    <row r="180">
      <c r="A180" s="102"/>
      <c r="B180" s="102"/>
    </row>
    <row r="181">
      <c r="A181" s="102"/>
      <c r="B181" s="102"/>
    </row>
    <row r="182">
      <c r="A182" s="102"/>
      <c r="B182" s="102"/>
    </row>
    <row r="183">
      <c r="A183" s="102"/>
      <c r="B183" s="102"/>
    </row>
    <row r="184">
      <c r="A184" s="102"/>
      <c r="B184" s="102"/>
    </row>
    <row r="185">
      <c r="A185" s="102"/>
      <c r="B185" s="102"/>
    </row>
    <row r="186">
      <c r="A186" s="102"/>
      <c r="B186" s="102"/>
    </row>
    <row r="187">
      <c r="A187" s="102"/>
      <c r="B187" s="102"/>
    </row>
    <row r="188">
      <c r="A188" s="102"/>
      <c r="B188" s="102"/>
    </row>
    <row r="189">
      <c r="A189" s="102"/>
      <c r="B189" s="102"/>
    </row>
    <row r="190">
      <c r="A190" s="102"/>
      <c r="B190" s="102"/>
    </row>
    <row r="191">
      <c r="A191" s="102"/>
      <c r="B191" s="102"/>
    </row>
    <row r="192">
      <c r="A192" s="102"/>
      <c r="B192" s="102"/>
    </row>
    <row r="193">
      <c r="A193" s="102"/>
      <c r="B193" s="102"/>
    </row>
    <row r="194">
      <c r="A194" s="102"/>
      <c r="B194" s="102"/>
    </row>
    <row r="195">
      <c r="A195" s="102"/>
      <c r="B195" s="102"/>
    </row>
    <row r="196">
      <c r="A196" s="102"/>
      <c r="B196" s="102"/>
    </row>
    <row r="197">
      <c r="A197" s="102"/>
      <c r="B197" s="102"/>
    </row>
    <row r="198">
      <c r="A198" s="102"/>
      <c r="B198" s="102"/>
    </row>
    <row r="199">
      <c r="A199" s="102"/>
      <c r="B199" s="102"/>
    </row>
    <row r="200">
      <c r="A200" s="102"/>
      <c r="B200" s="102"/>
    </row>
    <row r="201">
      <c r="A201" s="102"/>
      <c r="B201" s="102"/>
    </row>
    <row r="202">
      <c r="A202" s="102"/>
      <c r="B202" s="102"/>
    </row>
    <row r="203">
      <c r="A203" s="102"/>
      <c r="B203" s="102"/>
    </row>
    <row r="204">
      <c r="A204" s="102"/>
      <c r="B204" s="102"/>
    </row>
    <row r="205">
      <c r="A205" s="102"/>
      <c r="B205" s="102"/>
    </row>
    <row r="206">
      <c r="A206" s="102"/>
      <c r="B206" s="102"/>
    </row>
    <row r="207">
      <c r="A207" s="102"/>
      <c r="B207" s="102"/>
    </row>
    <row r="208">
      <c r="A208" s="102"/>
      <c r="B208" s="102"/>
    </row>
    <row r="209">
      <c r="A209" s="102"/>
      <c r="B209" s="102"/>
    </row>
    <row r="210">
      <c r="A210" s="102"/>
      <c r="B210" s="102"/>
    </row>
    <row r="211">
      <c r="A211" s="102"/>
      <c r="B211" s="102"/>
    </row>
    <row r="212">
      <c r="A212" s="102"/>
      <c r="B212" s="102"/>
    </row>
    <row r="213">
      <c r="A213" s="102"/>
      <c r="B213" s="102"/>
    </row>
    <row r="214">
      <c r="A214" s="102"/>
      <c r="B214" s="102"/>
    </row>
    <row r="215">
      <c r="A215" s="102"/>
      <c r="B215" s="102"/>
    </row>
    <row r="216">
      <c r="A216" s="102"/>
      <c r="B216" s="102"/>
    </row>
    <row r="217">
      <c r="A217" s="102"/>
      <c r="B217" s="102"/>
    </row>
    <row r="218">
      <c r="A218" s="102"/>
      <c r="B218" s="102"/>
    </row>
    <row r="219">
      <c r="A219" s="102"/>
      <c r="B219" s="102"/>
    </row>
    <row r="220">
      <c r="A220" s="102"/>
      <c r="B220" s="102"/>
    </row>
    <row r="221">
      <c r="A221" s="102"/>
      <c r="B221" s="102"/>
    </row>
    <row r="222">
      <c r="A222" s="102"/>
      <c r="B222" s="102"/>
    </row>
    <row r="223">
      <c r="A223" s="102"/>
      <c r="B223" s="102"/>
    </row>
    <row r="224">
      <c r="A224" s="102"/>
      <c r="B224" s="102"/>
    </row>
    <row r="225">
      <c r="A225" s="102"/>
      <c r="B225" s="102"/>
    </row>
    <row r="226">
      <c r="A226" s="102"/>
      <c r="B226" s="102"/>
    </row>
    <row r="227">
      <c r="A227" s="102"/>
      <c r="B227" s="102"/>
    </row>
    <row r="228">
      <c r="A228" s="102"/>
      <c r="B228" s="102"/>
    </row>
    <row r="229">
      <c r="A229" s="102"/>
      <c r="B229" s="102"/>
    </row>
    <row r="230">
      <c r="A230" s="102"/>
      <c r="B230" s="102"/>
    </row>
    <row r="231">
      <c r="A231" s="102"/>
      <c r="B231" s="102"/>
    </row>
    <row r="232">
      <c r="A232" s="102"/>
      <c r="B232" s="102"/>
    </row>
    <row r="233">
      <c r="A233" s="102"/>
      <c r="B233" s="102"/>
    </row>
    <row r="234">
      <c r="A234" s="102"/>
      <c r="B234" s="102"/>
    </row>
    <row r="235">
      <c r="A235" s="102"/>
      <c r="B235" s="102"/>
    </row>
    <row r="236">
      <c r="A236" s="102"/>
      <c r="B236" s="102"/>
    </row>
    <row r="237">
      <c r="A237" s="102"/>
      <c r="B237" s="102"/>
    </row>
    <row r="238">
      <c r="A238" s="102"/>
      <c r="B238" s="102"/>
    </row>
    <row r="239">
      <c r="A239" s="102"/>
      <c r="B239" s="102"/>
    </row>
    <row r="240">
      <c r="A240" s="102"/>
      <c r="B240" s="102"/>
    </row>
    <row r="241">
      <c r="A241" s="102"/>
      <c r="B241" s="102"/>
    </row>
    <row r="242">
      <c r="A242" s="102"/>
      <c r="B242" s="102"/>
    </row>
    <row r="243">
      <c r="A243" s="102"/>
      <c r="B243" s="102"/>
    </row>
    <row r="244">
      <c r="A244" s="102"/>
      <c r="B244" s="102"/>
    </row>
    <row r="245">
      <c r="A245" s="102"/>
      <c r="B245" s="102"/>
    </row>
    <row r="246">
      <c r="A246" s="102"/>
      <c r="B246" s="102"/>
    </row>
    <row r="247">
      <c r="A247" s="102"/>
      <c r="B247" s="102"/>
    </row>
    <row r="248">
      <c r="A248" s="102"/>
      <c r="B248" s="102"/>
    </row>
    <row r="249">
      <c r="A249" s="102"/>
      <c r="B249" s="102"/>
    </row>
    <row r="250">
      <c r="A250" s="102"/>
      <c r="B250" s="102"/>
    </row>
    <row r="251">
      <c r="A251" s="102"/>
      <c r="B251" s="102"/>
    </row>
    <row r="252">
      <c r="A252" s="102"/>
      <c r="B252" s="102"/>
    </row>
    <row r="253">
      <c r="A253" s="102"/>
      <c r="B253" s="102"/>
    </row>
    <row r="254">
      <c r="A254" s="102"/>
      <c r="B254" s="102"/>
    </row>
    <row r="255">
      <c r="A255" s="102"/>
      <c r="B255" s="102"/>
    </row>
    <row r="256">
      <c r="A256" s="102"/>
      <c r="B256" s="102"/>
    </row>
    <row r="257">
      <c r="A257" s="102"/>
      <c r="B257" s="102"/>
    </row>
    <row r="258">
      <c r="A258" s="102"/>
      <c r="B258" s="102"/>
    </row>
    <row r="259">
      <c r="A259" s="102"/>
      <c r="B259" s="102"/>
    </row>
    <row r="260">
      <c r="A260" s="102"/>
      <c r="B260" s="102"/>
    </row>
    <row r="261">
      <c r="A261" s="102"/>
      <c r="B261" s="102"/>
    </row>
    <row r="262">
      <c r="A262" s="102"/>
      <c r="B262" s="102"/>
    </row>
    <row r="263">
      <c r="A263" s="102"/>
      <c r="B263" s="102"/>
    </row>
    <row r="264">
      <c r="A264" s="102"/>
      <c r="B264" s="102"/>
    </row>
    <row r="265">
      <c r="A265" s="102"/>
      <c r="B265" s="102"/>
    </row>
    <row r="266">
      <c r="A266" s="102"/>
      <c r="B266" s="102"/>
    </row>
    <row r="267">
      <c r="A267" s="102"/>
      <c r="B267" s="102"/>
    </row>
    <row r="268">
      <c r="A268" s="102"/>
      <c r="B268" s="102"/>
    </row>
    <row r="269">
      <c r="A269" s="102"/>
      <c r="B269" s="102"/>
    </row>
    <row r="270">
      <c r="A270" s="102"/>
      <c r="B270" s="102"/>
    </row>
    <row r="271">
      <c r="A271" s="102"/>
      <c r="B271" s="102"/>
    </row>
    <row r="272">
      <c r="A272" s="102"/>
      <c r="B272" s="102"/>
    </row>
    <row r="273">
      <c r="A273" s="102"/>
      <c r="B273" s="102"/>
    </row>
    <row r="274">
      <c r="A274" s="102"/>
      <c r="B274" s="102"/>
    </row>
    <row r="275">
      <c r="A275" s="102"/>
      <c r="B275" s="102"/>
    </row>
    <row r="276">
      <c r="A276" s="102"/>
      <c r="B276" s="102"/>
    </row>
    <row r="277">
      <c r="A277" s="102"/>
      <c r="B277" s="102"/>
    </row>
    <row r="278">
      <c r="A278" s="102"/>
      <c r="B278" s="102"/>
    </row>
    <row r="279">
      <c r="A279" s="102"/>
      <c r="B279" s="102"/>
    </row>
    <row r="280">
      <c r="A280" s="102"/>
      <c r="B280" s="102"/>
    </row>
    <row r="281">
      <c r="A281" s="102"/>
      <c r="B281" s="102"/>
    </row>
    <row r="282">
      <c r="A282" s="102"/>
      <c r="B282" s="102"/>
    </row>
    <row r="283">
      <c r="A283" s="102"/>
      <c r="B283" s="102"/>
    </row>
    <row r="284">
      <c r="A284" s="102"/>
      <c r="B284" s="102"/>
    </row>
    <row r="285">
      <c r="A285" s="102"/>
      <c r="B285" s="102"/>
    </row>
    <row r="286">
      <c r="A286" s="102"/>
      <c r="B286" s="102"/>
    </row>
    <row r="287">
      <c r="A287" s="102"/>
      <c r="B287" s="102"/>
    </row>
    <row r="288">
      <c r="A288" s="102"/>
      <c r="B288" s="102"/>
    </row>
    <row r="289">
      <c r="A289" s="102"/>
      <c r="B289" s="102"/>
    </row>
    <row r="290">
      <c r="A290" s="102"/>
      <c r="B290" s="102"/>
    </row>
    <row r="291">
      <c r="A291" s="102"/>
      <c r="B291" s="102"/>
    </row>
    <row r="292">
      <c r="A292" s="102"/>
      <c r="B292" s="102"/>
    </row>
    <row r="293">
      <c r="A293" s="102"/>
      <c r="B293" s="102"/>
    </row>
    <row r="294">
      <c r="A294" s="102"/>
      <c r="B294" s="102"/>
    </row>
    <row r="295">
      <c r="A295" s="102"/>
      <c r="B295" s="102"/>
    </row>
    <row r="296">
      <c r="A296" s="102"/>
      <c r="B296" s="102"/>
    </row>
    <row r="297">
      <c r="A297" s="102"/>
      <c r="B297" s="102"/>
    </row>
    <row r="298">
      <c r="A298" s="102"/>
      <c r="B298" s="102"/>
    </row>
    <row r="299">
      <c r="A299" s="102"/>
      <c r="B299" s="102"/>
    </row>
    <row r="300">
      <c r="A300" s="102"/>
      <c r="B300" s="102"/>
    </row>
    <row r="301">
      <c r="A301" s="102"/>
      <c r="B301" s="102"/>
    </row>
    <row r="302">
      <c r="A302" s="102"/>
      <c r="B302" s="102"/>
    </row>
    <row r="303">
      <c r="A303" s="102"/>
      <c r="B303" s="102"/>
    </row>
    <row r="304">
      <c r="A304" s="102"/>
      <c r="B304" s="102"/>
    </row>
    <row r="305">
      <c r="A305" s="102"/>
      <c r="B305" s="102"/>
    </row>
    <row r="306">
      <c r="A306" s="102"/>
      <c r="B306" s="102"/>
    </row>
    <row r="307">
      <c r="A307" s="102"/>
      <c r="B307" s="102"/>
    </row>
    <row r="308">
      <c r="A308" s="102"/>
      <c r="B308" s="102"/>
    </row>
    <row r="309">
      <c r="A309" s="102"/>
      <c r="B309" s="102"/>
    </row>
    <row r="310">
      <c r="A310" s="102"/>
      <c r="B310" s="102"/>
    </row>
    <row r="311">
      <c r="A311" s="102"/>
      <c r="B311" s="102"/>
    </row>
    <row r="312">
      <c r="A312" s="102"/>
      <c r="B312" s="102"/>
    </row>
    <row r="313">
      <c r="A313" s="102"/>
      <c r="B313" s="102"/>
    </row>
    <row r="314">
      <c r="A314" s="102"/>
      <c r="B314" s="102"/>
    </row>
    <row r="315">
      <c r="A315" s="102"/>
      <c r="B315" s="102"/>
    </row>
    <row r="316">
      <c r="A316" s="102"/>
      <c r="B316" s="102"/>
    </row>
    <row r="317">
      <c r="A317" s="102"/>
      <c r="B317" s="102"/>
    </row>
    <row r="318">
      <c r="A318" s="102"/>
      <c r="B318" s="102"/>
    </row>
    <row r="319">
      <c r="A319" s="102"/>
      <c r="B319" s="102"/>
    </row>
    <row r="320">
      <c r="A320" s="102"/>
      <c r="B320" s="102"/>
    </row>
    <row r="321">
      <c r="A321" s="102"/>
      <c r="B321" s="102"/>
    </row>
    <row r="322">
      <c r="A322" s="102"/>
      <c r="B322" s="102"/>
    </row>
    <row r="323">
      <c r="A323" s="102"/>
      <c r="B323" s="102"/>
    </row>
    <row r="324">
      <c r="A324" s="102"/>
      <c r="B324" s="102"/>
    </row>
    <row r="325">
      <c r="A325" s="102"/>
      <c r="B325" s="102"/>
    </row>
    <row r="326">
      <c r="A326" s="102"/>
      <c r="B326" s="102"/>
    </row>
    <row r="327">
      <c r="A327" s="102"/>
      <c r="B327" s="102"/>
    </row>
    <row r="328">
      <c r="A328" s="102"/>
      <c r="B328" s="102"/>
    </row>
    <row r="329">
      <c r="A329" s="102"/>
      <c r="B329" s="102"/>
    </row>
    <row r="330">
      <c r="A330" s="102"/>
      <c r="B330" s="102"/>
    </row>
    <row r="331">
      <c r="A331" s="102"/>
      <c r="B331" s="102"/>
    </row>
    <row r="332">
      <c r="A332" s="102"/>
      <c r="B332" s="102"/>
    </row>
    <row r="333">
      <c r="A333" s="102"/>
      <c r="B333" s="102"/>
    </row>
    <row r="334">
      <c r="A334" s="102"/>
      <c r="B334" s="102"/>
    </row>
    <row r="335">
      <c r="A335" s="102"/>
      <c r="B335" s="102"/>
    </row>
    <row r="336">
      <c r="A336" s="102"/>
      <c r="B336" s="102"/>
    </row>
    <row r="337">
      <c r="A337" s="102"/>
      <c r="B337" s="102"/>
    </row>
    <row r="338">
      <c r="A338" s="102"/>
      <c r="B338" s="102"/>
    </row>
    <row r="339">
      <c r="A339" s="102"/>
      <c r="B339" s="102"/>
    </row>
    <row r="340">
      <c r="A340" s="102"/>
      <c r="B340" s="102"/>
    </row>
    <row r="341">
      <c r="A341" s="102"/>
      <c r="B341" s="102"/>
    </row>
    <row r="342">
      <c r="A342" s="102"/>
      <c r="B342" s="102"/>
    </row>
    <row r="343">
      <c r="A343" s="102"/>
      <c r="B343" s="102"/>
    </row>
    <row r="344">
      <c r="A344" s="102"/>
      <c r="B344" s="102"/>
    </row>
    <row r="345">
      <c r="A345" s="102"/>
      <c r="B345" s="102"/>
    </row>
    <row r="346">
      <c r="A346" s="102"/>
      <c r="B346" s="102"/>
    </row>
    <row r="347">
      <c r="A347" s="102"/>
      <c r="B347" s="102"/>
    </row>
    <row r="348">
      <c r="A348" s="102"/>
      <c r="B348" s="102"/>
    </row>
    <row r="349">
      <c r="A349" s="102"/>
      <c r="B349" s="102"/>
    </row>
    <row r="350">
      <c r="A350" s="102"/>
      <c r="B350" s="102"/>
    </row>
    <row r="351">
      <c r="A351" s="102"/>
      <c r="B351" s="102"/>
    </row>
    <row r="352">
      <c r="A352" s="102"/>
      <c r="B352" s="102"/>
    </row>
    <row r="353">
      <c r="A353" s="102"/>
      <c r="B353" s="102"/>
    </row>
    <row r="354">
      <c r="A354" s="102"/>
      <c r="B354" s="102"/>
    </row>
    <row r="355">
      <c r="A355" s="102"/>
      <c r="B355" s="102"/>
    </row>
    <row r="356">
      <c r="A356" s="102"/>
      <c r="B356" s="102"/>
    </row>
    <row r="357">
      <c r="A357" s="102"/>
      <c r="B357" s="102"/>
    </row>
    <row r="358">
      <c r="A358" s="102"/>
      <c r="B358" s="102"/>
    </row>
    <row r="359">
      <c r="A359" s="102"/>
      <c r="B359" s="102"/>
    </row>
    <row r="360">
      <c r="A360" s="102"/>
      <c r="B360" s="102"/>
    </row>
    <row r="361">
      <c r="A361" s="102"/>
      <c r="B361" s="102"/>
    </row>
    <row r="362">
      <c r="A362" s="102"/>
      <c r="B362" s="102"/>
    </row>
    <row r="363">
      <c r="A363" s="102"/>
      <c r="B363" s="102"/>
    </row>
    <row r="364">
      <c r="A364" s="102"/>
      <c r="B364" s="102"/>
    </row>
    <row r="365">
      <c r="A365" s="102"/>
      <c r="B365" s="102"/>
    </row>
    <row r="366">
      <c r="A366" s="102"/>
      <c r="B366" s="102"/>
    </row>
    <row r="367">
      <c r="A367" s="102"/>
      <c r="B367" s="102"/>
    </row>
    <row r="368">
      <c r="A368" s="102"/>
      <c r="B368" s="102"/>
    </row>
    <row r="369">
      <c r="A369" s="102"/>
      <c r="B369" s="102"/>
    </row>
    <row r="370">
      <c r="A370" s="102"/>
      <c r="B370" s="102"/>
    </row>
    <row r="371">
      <c r="A371" s="102"/>
      <c r="B371" s="102"/>
    </row>
    <row r="372">
      <c r="A372" s="102"/>
      <c r="B372" s="102"/>
    </row>
    <row r="373">
      <c r="A373" s="102"/>
      <c r="B373" s="102"/>
    </row>
    <row r="374">
      <c r="A374" s="102"/>
      <c r="B374" s="102"/>
    </row>
    <row r="375">
      <c r="A375" s="102"/>
      <c r="B375" s="102"/>
    </row>
    <row r="376">
      <c r="A376" s="102"/>
      <c r="B376" s="102"/>
    </row>
    <row r="377">
      <c r="A377" s="102"/>
      <c r="B377" s="102"/>
    </row>
    <row r="378">
      <c r="A378" s="102"/>
      <c r="B378" s="102"/>
    </row>
    <row r="379">
      <c r="A379" s="102"/>
      <c r="B379" s="102"/>
    </row>
    <row r="380">
      <c r="A380" s="102"/>
      <c r="B380" s="102"/>
    </row>
    <row r="381">
      <c r="A381" s="102"/>
      <c r="B381" s="102"/>
    </row>
    <row r="382">
      <c r="A382" s="102"/>
      <c r="B382" s="102"/>
    </row>
    <row r="383">
      <c r="A383" s="102"/>
      <c r="B383" s="102"/>
    </row>
    <row r="384">
      <c r="A384" s="102"/>
      <c r="B384" s="102"/>
    </row>
    <row r="385">
      <c r="A385" s="102"/>
      <c r="B385" s="102"/>
    </row>
    <row r="386">
      <c r="A386" s="102"/>
      <c r="B386" s="102"/>
    </row>
    <row r="387">
      <c r="A387" s="102"/>
      <c r="B387" s="102"/>
    </row>
    <row r="388">
      <c r="A388" s="102"/>
      <c r="B388" s="102"/>
    </row>
    <row r="389">
      <c r="A389" s="102"/>
      <c r="B389" s="102"/>
    </row>
    <row r="390">
      <c r="A390" s="102"/>
      <c r="B390" s="102"/>
    </row>
    <row r="391">
      <c r="A391" s="102"/>
      <c r="B391" s="102"/>
    </row>
    <row r="392">
      <c r="A392" s="102"/>
      <c r="B392" s="102"/>
    </row>
    <row r="393">
      <c r="A393" s="102"/>
      <c r="B393" s="102"/>
    </row>
    <row r="394">
      <c r="A394" s="102"/>
      <c r="B394" s="102"/>
    </row>
    <row r="395">
      <c r="A395" s="102"/>
      <c r="B395" s="102"/>
    </row>
    <row r="396">
      <c r="A396" s="102"/>
      <c r="B396" s="102"/>
    </row>
    <row r="397">
      <c r="A397" s="102"/>
      <c r="B397" s="102"/>
    </row>
    <row r="398">
      <c r="A398" s="102"/>
      <c r="B398" s="102"/>
    </row>
    <row r="399">
      <c r="A399" s="102"/>
      <c r="B399" s="102"/>
    </row>
    <row r="400">
      <c r="A400" s="102"/>
      <c r="B400" s="102"/>
    </row>
    <row r="401">
      <c r="A401" s="102"/>
      <c r="B401" s="102"/>
    </row>
    <row r="402">
      <c r="A402" s="102"/>
      <c r="B402" s="102"/>
    </row>
    <row r="403">
      <c r="A403" s="102"/>
      <c r="B403" s="102"/>
    </row>
    <row r="404">
      <c r="A404" s="102"/>
      <c r="B404" s="102"/>
    </row>
    <row r="405">
      <c r="A405" s="102"/>
      <c r="B405" s="102"/>
    </row>
    <row r="406">
      <c r="A406" s="102"/>
      <c r="B406" s="102"/>
    </row>
    <row r="407">
      <c r="A407" s="102"/>
      <c r="B407" s="102"/>
    </row>
    <row r="408">
      <c r="A408" s="102"/>
      <c r="B408" s="102"/>
    </row>
    <row r="409">
      <c r="A409" s="102"/>
      <c r="B409" s="102"/>
    </row>
    <row r="410">
      <c r="A410" s="102"/>
      <c r="B410" s="102"/>
    </row>
    <row r="411">
      <c r="A411" s="102"/>
      <c r="B411" s="102"/>
    </row>
    <row r="412">
      <c r="A412" s="102"/>
      <c r="B412" s="102"/>
    </row>
    <row r="413">
      <c r="A413" s="102"/>
      <c r="B413" s="102"/>
    </row>
    <row r="414">
      <c r="A414" s="102"/>
      <c r="B414" s="102"/>
    </row>
    <row r="415">
      <c r="A415" s="102"/>
      <c r="B415" s="102"/>
    </row>
    <row r="416">
      <c r="A416" s="102"/>
      <c r="B416" s="102"/>
    </row>
    <row r="417">
      <c r="A417" s="102"/>
      <c r="B417" s="102"/>
    </row>
    <row r="418">
      <c r="A418" s="102"/>
      <c r="B418" s="102"/>
    </row>
    <row r="419">
      <c r="A419" s="102"/>
      <c r="B419" s="102"/>
    </row>
    <row r="420">
      <c r="A420" s="102"/>
      <c r="B420" s="102"/>
    </row>
    <row r="421">
      <c r="A421" s="102"/>
      <c r="B421" s="102"/>
    </row>
    <row r="422">
      <c r="A422" s="102"/>
      <c r="B422" s="102"/>
    </row>
    <row r="423">
      <c r="A423" s="102"/>
      <c r="B423" s="102"/>
    </row>
    <row r="424">
      <c r="A424" s="102"/>
      <c r="B424" s="102"/>
    </row>
    <row r="425">
      <c r="A425" s="102"/>
      <c r="B425" s="102"/>
    </row>
    <row r="426">
      <c r="A426" s="102"/>
      <c r="B426" s="102"/>
    </row>
    <row r="427">
      <c r="A427" s="102"/>
      <c r="B427" s="102"/>
    </row>
    <row r="428">
      <c r="A428" s="102"/>
      <c r="B428" s="102"/>
    </row>
    <row r="429">
      <c r="A429" s="102"/>
      <c r="B429" s="102"/>
    </row>
    <row r="430">
      <c r="A430" s="102"/>
      <c r="B430" s="102"/>
    </row>
    <row r="431">
      <c r="A431" s="102"/>
      <c r="B431" s="102"/>
    </row>
    <row r="432">
      <c r="A432" s="102"/>
      <c r="B432" s="102"/>
    </row>
    <row r="433">
      <c r="A433" s="102"/>
      <c r="B433" s="102"/>
    </row>
    <row r="434">
      <c r="A434" s="102"/>
      <c r="B434" s="102"/>
    </row>
    <row r="435">
      <c r="A435" s="102"/>
      <c r="B435" s="102"/>
    </row>
    <row r="436">
      <c r="A436" s="102"/>
      <c r="B436" s="102"/>
    </row>
    <row r="437">
      <c r="A437" s="102"/>
      <c r="B437" s="102"/>
    </row>
    <row r="438">
      <c r="A438" s="102"/>
      <c r="B438" s="102"/>
    </row>
    <row r="439">
      <c r="A439" s="102"/>
      <c r="B439" s="102"/>
    </row>
    <row r="440">
      <c r="A440" s="102"/>
      <c r="B440" s="102"/>
    </row>
    <row r="441">
      <c r="A441" s="102"/>
      <c r="B441" s="102"/>
    </row>
    <row r="442">
      <c r="A442" s="102"/>
      <c r="B442" s="102"/>
    </row>
    <row r="443">
      <c r="A443" s="102"/>
      <c r="B443" s="102"/>
    </row>
    <row r="444">
      <c r="A444" s="102"/>
      <c r="B444" s="102"/>
    </row>
    <row r="445">
      <c r="A445" s="102"/>
      <c r="B445" s="102"/>
    </row>
    <row r="446">
      <c r="A446" s="102"/>
      <c r="B446" s="102"/>
    </row>
    <row r="447">
      <c r="A447" s="102"/>
      <c r="B447" s="102"/>
    </row>
    <row r="448">
      <c r="A448" s="102"/>
      <c r="B448" s="102"/>
    </row>
    <row r="449">
      <c r="A449" s="102"/>
      <c r="B449" s="102"/>
    </row>
    <row r="450">
      <c r="A450" s="102"/>
      <c r="B450" s="102"/>
    </row>
    <row r="451">
      <c r="A451" s="102"/>
      <c r="B451" s="102"/>
    </row>
    <row r="452">
      <c r="A452" s="102"/>
      <c r="B452" s="102"/>
    </row>
    <row r="453">
      <c r="A453" s="102"/>
      <c r="B453" s="102"/>
    </row>
    <row r="454">
      <c r="A454" s="102"/>
      <c r="B454" s="102"/>
    </row>
    <row r="455">
      <c r="A455" s="102"/>
      <c r="B455" s="102"/>
    </row>
    <row r="456">
      <c r="A456" s="102"/>
      <c r="B456" s="102"/>
    </row>
    <row r="457">
      <c r="A457" s="102"/>
      <c r="B457" s="102"/>
    </row>
    <row r="458">
      <c r="A458" s="102"/>
      <c r="B458" s="102"/>
    </row>
    <row r="459">
      <c r="A459" s="102"/>
      <c r="B459" s="102"/>
    </row>
    <row r="460">
      <c r="A460" s="102"/>
      <c r="B460" s="102"/>
    </row>
    <row r="461">
      <c r="A461" s="102"/>
      <c r="B461" s="102"/>
    </row>
    <row r="462">
      <c r="A462" s="102"/>
      <c r="B462" s="102"/>
    </row>
    <row r="463">
      <c r="A463" s="102"/>
      <c r="B463" s="102"/>
    </row>
    <row r="464">
      <c r="A464" s="102"/>
      <c r="B464" s="102"/>
    </row>
    <row r="465">
      <c r="A465" s="102"/>
      <c r="B465" s="102"/>
    </row>
    <row r="466">
      <c r="A466" s="102"/>
      <c r="B466" s="102"/>
    </row>
    <row r="467">
      <c r="A467" s="102"/>
      <c r="B467" s="102"/>
    </row>
    <row r="468">
      <c r="A468" s="102"/>
      <c r="B468" s="102"/>
    </row>
    <row r="469">
      <c r="A469" s="102"/>
      <c r="B469" s="102"/>
    </row>
    <row r="470">
      <c r="A470" s="102"/>
      <c r="B470" s="102"/>
    </row>
    <row r="471">
      <c r="A471" s="102"/>
      <c r="B471" s="102"/>
    </row>
    <row r="472">
      <c r="A472" s="102"/>
      <c r="B472" s="102"/>
    </row>
    <row r="473">
      <c r="A473" s="102"/>
      <c r="B473" s="102"/>
    </row>
    <row r="474">
      <c r="A474" s="102"/>
      <c r="B474" s="102"/>
    </row>
    <row r="475">
      <c r="A475" s="102"/>
      <c r="B475" s="102"/>
    </row>
    <row r="476">
      <c r="A476" s="102"/>
      <c r="B476" s="102"/>
    </row>
    <row r="477">
      <c r="A477" s="102"/>
      <c r="B477" s="102"/>
    </row>
    <row r="478">
      <c r="A478" s="102"/>
      <c r="B478" s="102"/>
    </row>
    <row r="479">
      <c r="A479" s="102"/>
      <c r="B479" s="102"/>
    </row>
    <row r="480">
      <c r="A480" s="102"/>
      <c r="B480" s="102"/>
    </row>
    <row r="481">
      <c r="A481" s="102"/>
      <c r="B481" s="102"/>
    </row>
    <row r="482">
      <c r="A482" s="102"/>
      <c r="B482" s="102"/>
    </row>
    <row r="483">
      <c r="A483" s="102"/>
      <c r="B483" s="102"/>
    </row>
    <row r="484">
      <c r="A484" s="102"/>
      <c r="B484" s="102"/>
    </row>
    <row r="485">
      <c r="A485" s="102"/>
      <c r="B485" s="102"/>
    </row>
    <row r="486">
      <c r="A486" s="102"/>
      <c r="B486" s="102"/>
    </row>
    <row r="487">
      <c r="A487" s="102"/>
      <c r="B487" s="102"/>
    </row>
    <row r="488">
      <c r="A488" s="102"/>
      <c r="B488" s="102"/>
    </row>
    <row r="489">
      <c r="A489" s="102"/>
      <c r="B489" s="102"/>
    </row>
    <row r="490">
      <c r="A490" s="102"/>
      <c r="B490" s="102"/>
    </row>
    <row r="491">
      <c r="A491" s="102"/>
      <c r="B491" s="102"/>
    </row>
    <row r="492">
      <c r="A492" s="102"/>
      <c r="B492" s="102"/>
    </row>
    <row r="493">
      <c r="A493" s="102"/>
      <c r="B493" s="102"/>
    </row>
    <row r="494">
      <c r="A494" s="102"/>
      <c r="B494" s="102"/>
    </row>
    <row r="495">
      <c r="A495" s="102"/>
      <c r="B495" s="102"/>
    </row>
    <row r="496">
      <c r="A496" s="102"/>
      <c r="B496" s="102"/>
    </row>
    <row r="497">
      <c r="A497" s="102"/>
      <c r="B497" s="102"/>
    </row>
    <row r="498">
      <c r="A498" s="102"/>
      <c r="B498" s="102"/>
    </row>
    <row r="499">
      <c r="A499" s="102"/>
      <c r="B499" s="102"/>
    </row>
    <row r="500">
      <c r="A500" s="102"/>
      <c r="B500" s="102"/>
    </row>
    <row r="501">
      <c r="A501" s="102"/>
      <c r="B501" s="102"/>
    </row>
    <row r="502">
      <c r="A502" s="102"/>
      <c r="B502" s="102"/>
    </row>
    <row r="503">
      <c r="A503" s="102"/>
      <c r="B503" s="102"/>
    </row>
    <row r="504">
      <c r="A504" s="102"/>
      <c r="B504" s="102"/>
    </row>
    <row r="505">
      <c r="A505" s="102"/>
      <c r="B505" s="102"/>
    </row>
    <row r="506">
      <c r="A506" s="102"/>
      <c r="B506" s="102"/>
    </row>
    <row r="507">
      <c r="A507" s="102"/>
      <c r="B507" s="102"/>
    </row>
    <row r="508">
      <c r="A508" s="102"/>
      <c r="B508" s="102"/>
    </row>
    <row r="509">
      <c r="A509" s="102"/>
      <c r="B509" s="102"/>
    </row>
    <row r="510">
      <c r="A510" s="102"/>
      <c r="B510" s="102"/>
    </row>
    <row r="511">
      <c r="A511" s="102"/>
      <c r="B511" s="102"/>
    </row>
    <row r="512">
      <c r="A512" s="102"/>
      <c r="B512" s="102"/>
    </row>
    <row r="513">
      <c r="A513" s="102"/>
      <c r="B513" s="102"/>
    </row>
    <row r="514">
      <c r="A514" s="102"/>
      <c r="B514" s="102"/>
    </row>
    <row r="515">
      <c r="A515" s="102"/>
      <c r="B515" s="102"/>
    </row>
    <row r="516">
      <c r="A516" s="102"/>
      <c r="B516" s="102"/>
    </row>
    <row r="517">
      <c r="A517" s="102"/>
      <c r="B517" s="102"/>
    </row>
    <row r="518">
      <c r="A518" s="102"/>
      <c r="B518" s="102"/>
    </row>
    <row r="519">
      <c r="A519" s="102"/>
      <c r="B519" s="102"/>
    </row>
    <row r="520">
      <c r="A520" s="102"/>
      <c r="B520" s="102"/>
    </row>
    <row r="521">
      <c r="A521" s="102"/>
      <c r="B521" s="102"/>
    </row>
    <row r="522">
      <c r="A522" s="102"/>
      <c r="B522" s="102"/>
    </row>
    <row r="523">
      <c r="A523" s="102"/>
      <c r="B523" s="102"/>
    </row>
    <row r="524">
      <c r="A524" s="102"/>
      <c r="B524" s="102"/>
    </row>
    <row r="525">
      <c r="A525" s="102"/>
      <c r="B525" s="102"/>
    </row>
    <row r="526">
      <c r="A526" s="102"/>
      <c r="B526" s="102"/>
    </row>
    <row r="527">
      <c r="A527" s="102"/>
      <c r="B527" s="102"/>
    </row>
    <row r="528">
      <c r="A528" s="102"/>
      <c r="B528" s="102"/>
    </row>
    <row r="529">
      <c r="A529" s="102"/>
      <c r="B529" s="102"/>
    </row>
    <row r="530">
      <c r="A530" s="102"/>
      <c r="B530" s="102"/>
    </row>
    <row r="531">
      <c r="A531" s="102"/>
      <c r="B531" s="102"/>
    </row>
    <row r="532">
      <c r="A532" s="102"/>
      <c r="B532" s="102"/>
    </row>
    <row r="533">
      <c r="A533" s="102"/>
      <c r="B533" s="102"/>
    </row>
    <row r="534">
      <c r="A534" s="102"/>
      <c r="B534" s="102"/>
    </row>
    <row r="535">
      <c r="A535" s="102"/>
      <c r="B535" s="102"/>
    </row>
    <row r="536">
      <c r="A536" s="102"/>
      <c r="B536" s="102"/>
    </row>
    <row r="537">
      <c r="A537" s="102"/>
      <c r="B537" s="102"/>
    </row>
    <row r="538">
      <c r="A538" s="102"/>
      <c r="B538" s="102"/>
    </row>
    <row r="539">
      <c r="A539" s="102"/>
      <c r="B539" s="102"/>
    </row>
    <row r="540">
      <c r="A540" s="102"/>
      <c r="B540" s="102"/>
    </row>
    <row r="541">
      <c r="A541" s="102"/>
      <c r="B541" s="102"/>
    </row>
    <row r="542">
      <c r="A542" s="102"/>
      <c r="B542" s="102"/>
    </row>
    <row r="543">
      <c r="A543" s="102"/>
      <c r="B543" s="102"/>
    </row>
    <row r="544">
      <c r="A544" s="102"/>
      <c r="B544" s="102"/>
    </row>
    <row r="545">
      <c r="A545" s="102"/>
      <c r="B545" s="102"/>
    </row>
    <row r="546">
      <c r="A546" s="102"/>
      <c r="B546" s="102"/>
    </row>
    <row r="547">
      <c r="A547" s="102"/>
      <c r="B547" s="102"/>
    </row>
    <row r="548">
      <c r="A548" s="102"/>
      <c r="B548" s="102"/>
    </row>
    <row r="549">
      <c r="A549" s="102"/>
      <c r="B549" s="102"/>
    </row>
    <row r="550">
      <c r="A550" s="102"/>
      <c r="B550" s="102"/>
    </row>
    <row r="551">
      <c r="A551" s="102"/>
      <c r="B551" s="102"/>
    </row>
    <row r="552">
      <c r="A552" s="102"/>
      <c r="B552" s="102"/>
    </row>
    <row r="553">
      <c r="A553" s="102"/>
      <c r="B553" s="102"/>
    </row>
    <row r="554">
      <c r="A554" s="102"/>
      <c r="B554" s="102"/>
    </row>
    <row r="555">
      <c r="A555" s="102"/>
      <c r="B555" s="102"/>
    </row>
    <row r="556">
      <c r="A556" s="102"/>
      <c r="B556" s="102"/>
    </row>
    <row r="557">
      <c r="A557" s="102"/>
      <c r="B557" s="102"/>
    </row>
    <row r="558">
      <c r="A558" s="102"/>
      <c r="B558" s="102"/>
    </row>
    <row r="559">
      <c r="A559" s="102"/>
      <c r="B559" s="102"/>
    </row>
    <row r="560">
      <c r="A560" s="102"/>
      <c r="B560" s="102"/>
    </row>
    <row r="561">
      <c r="A561" s="102"/>
      <c r="B561" s="102"/>
    </row>
    <row r="562">
      <c r="A562" s="102"/>
      <c r="B562" s="102"/>
    </row>
    <row r="563">
      <c r="A563" s="102"/>
      <c r="B563" s="102"/>
    </row>
    <row r="564">
      <c r="A564" s="102"/>
      <c r="B564" s="102"/>
    </row>
    <row r="565">
      <c r="A565" s="102"/>
      <c r="B565" s="102"/>
    </row>
    <row r="566">
      <c r="A566" s="102"/>
      <c r="B566" s="102"/>
    </row>
    <row r="567">
      <c r="A567" s="102"/>
      <c r="B567" s="102"/>
    </row>
    <row r="568">
      <c r="A568" s="102"/>
      <c r="B568" s="102"/>
    </row>
    <row r="569">
      <c r="A569" s="102"/>
      <c r="B569" s="102"/>
    </row>
    <row r="570">
      <c r="A570" s="102"/>
      <c r="B570" s="102"/>
    </row>
    <row r="571">
      <c r="A571" s="102"/>
      <c r="B571" s="102"/>
    </row>
    <row r="572">
      <c r="A572" s="102"/>
      <c r="B572" s="102"/>
    </row>
    <row r="573">
      <c r="A573" s="102"/>
      <c r="B573" s="102"/>
    </row>
    <row r="574">
      <c r="A574" s="102"/>
      <c r="B574" s="102"/>
    </row>
    <row r="575">
      <c r="A575" s="102"/>
      <c r="B575" s="102"/>
    </row>
    <row r="576">
      <c r="A576" s="102"/>
      <c r="B576" s="102"/>
    </row>
    <row r="577">
      <c r="A577" s="102"/>
      <c r="B577" s="102"/>
    </row>
    <row r="578">
      <c r="A578" s="102"/>
      <c r="B578" s="102"/>
    </row>
    <row r="579">
      <c r="A579" s="102"/>
      <c r="B579" s="102"/>
    </row>
    <row r="580">
      <c r="A580" s="102"/>
      <c r="B580" s="102"/>
    </row>
    <row r="581">
      <c r="A581" s="102"/>
      <c r="B581" s="102"/>
    </row>
    <row r="582">
      <c r="A582" s="102"/>
      <c r="B582" s="102"/>
    </row>
    <row r="583">
      <c r="A583" s="102"/>
      <c r="B583" s="102"/>
    </row>
    <row r="584">
      <c r="A584" s="102"/>
      <c r="B584" s="102"/>
    </row>
    <row r="585">
      <c r="A585" s="102"/>
      <c r="B585" s="102"/>
    </row>
    <row r="586">
      <c r="A586" s="102"/>
      <c r="B586" s="102"/>
    </row>
    <row r="587">
      <c r="A587" s="102"/>
      <c r="B587" s="102"/>
    </row>
    <row r="588">
      <c r="A588" s="102"/>
      <c r="B588" s="102"/>
    </row>
    <row r="589">
      <c r="A589" s="102"/>
      <c r="B589" s="102"/>
    </row>
    <row r="590">
      <c r="A590" s="102"/>
      <c r="B590" s="102"/>
    </row>
    <row r="591">
      <c r="A591" s="102"/>
      <c r="B591" s="102"/>
    </row>
    <row r="592">
      <c r="A592" s="102"/>
      <c r="B592" s="102"/>
    </row>
    <row r="593">
      <c r="A593" s="102"/>
      <c r="B593" s="102"/>
    </row>
    <row r="594">
      <c r="A594" s="102"/>
      <c r="B594" s="102"/>
    </row>
    <row r="595">
      <c r="A595" s="102"/>
      <c r="B595" s="102"/>
    </row>
    <row r="596">
      <c r="A596" s="102"/>
      <c r="B596" s="102"/>
    </row>
    <row r="597">
      <c r="A597" s="102"/>
      <c r="B597" s="102"/>
    </row>
    <row r="598">
      <c r="A598" s="102"/>
      <c r="B598" s="102"/>
    </row>
    <row r="599">
      <c r="A599" s="102"/>
      <c r="B599" s="102"/>
    </row>
    <row r="600">
      <c r="A600" s="102"/>
      <c r="B600" s="102"/>
    </row>
    <row r="601">
      <c r="A601" s="102"/>
      <c r="B601" s="102"/>
    </row>
    <row r="602">
      <c r="A602" s="102"/>
      <c r="B602" s="102"/>
    </row>
    <row r="603">
      <c r="A603" s="102"/>
      <c r="B603" s="102"/>
    </row>
    <row r="604">
      <c r="A604" s="102"/>
      <c r="B604" s="102"/>
    </row>
    <row r="605">
      <c r="A605" s="102"/>
      <c r="B605" s="102"/>
    </row>
    <row r="606">
      <c r="A606" s="102"/>
      <c r="B606" s="102"/>
    </row>
    <row r="607">
      <c r="A607" s="102"/>
      <c r="B607" s="102"/>
    </row>
    <row r="608">
      <c r="A608" s="102"/>
      <c r="B608" s="102"/>
    </row>
    <row r="609">
      <c r="A609" s="102"/>
      <c r="B609" s="102"/>
    </row>
    <row r="610">
      <c r="A610" s="102"/>
      <c r="B610" s="102"/>
    </row>
    <row r="611">
      <c r="A611" s="102"/>
      <c r="B611" s="102"/>
    </row>
    <row r="612">
      <c r="A612" s="102"/>
      <c r="B612" s="102"/>
    </row>
    <row r="613">
      <c r="A613" s="102"/>
      <c r="B613" s="102"/>
    </row>
    <row r="614">
      <c r="A614" s="102"/>
      <c r="B614" s="102"/>
    </row>
    <row r="615">
      <c r="A615" s="102"/>
      <c r="B615" s="102"/>
    </row>
    <row r="616">
      <c r="A616" s="102"/>
      <c r="B616" s="102"/>
    </row>
    <row r="617">
      <c r="A617" s="102"/>
      <c r="B617" s="102"/>
    </row>
    <row r="618">
      <c r="A618" s="102"/>
      <c r="B618" s="102"/>
    </row>
    <row r="619">
      <c r="A619" s="102"/>
      <c r="B619" s="102"/>
    </row>
    <row r="620">
      <c r="A620" s="102"/>
      <c r="B620" s="102"/>
    </row>
    <row r="621">
      <c r="A621" s="102"/>
      <c r="B621" s="102"/>
    </row>
    <row r="622">
      <c r="A622" s="102"/>
      <c r="B622" s="102"/>
    </row>
    <row r="623">
      <c r="A623" s="102"/>
      <c r="B623" s="102"/>
    </row>
    <row r="624">
      <c r="A624" s="102"/>
      <c r="B624" s="102"/>
    </row>
    <row r="625">
      <c r="A625" s="102"/>
      <c r="B625" s="102"/>
    </row>
    <row r="626">
      <c r="A626" s="102"/>
      <c r="B626" s="102"/>
    </row>
    <row r="627">
      <c r="A627" s="102"/>
      <c r="B627" s="102"/>
    </row>
    <row r="628">
      <c r="A628" s="102"/>
      <c r="B628" s="102"/>
    </row>
    <row r="629">
      <c r="A629" s="102"/>
      <c r="B629" s="102"/>
    </row>
    <row r="630">
      <c r="A630" s="102"/>
      <c r="B630" s="102"/>
    </row>
    <row r="631">
      <c r="A631" s="102"/>
      <c r="B631" s="102"/>
    </row>
    <row r="632">
      <c r="A632" s="102"/>
      <c r="B632" s="102"/>
    </row>
    <row r="633">
      <c r="A633" s="102"/>
      <c r="B633" s="102"/>
    </row>
    <row r="634">
      <c r="A634" s="102"/>
      <c r="B634" s="102"/>
    </row>
    <row r="635">
      <c r="A635" s="102"/>
      <c r="B635" s="102"/>
    </row>
    <row r="636">
      <c r="A636" s="102"/>
      <c r="B636" s="102"/>
    </row>
    <row r="637">
      <c r="A637" s="102"/>
      <c r="B637" s="102"/>
    </row>
    <row r="638">
      <c r="A638" s="102"/>
      <c r="B638" s="102"/>
    </row>
    <row r="639">
      <c r="A639" s="102"/>
      <c r="B639" s="102"/>
    </row>
    <row r="640">
      <c r="A640" s="102"/>
      <c r="B640" s="102"/>
    </row>
    <row r="641">
      <c r="A641" s="102"/>
      <c r="B641" s="102"/>
    </row>
    <row r="642">
      <c r="A642" s="102"/>
      <c r="B642" s="102"/>
    </row>
    <row r="643">
      <c r="A643" s="102"/>
      <c r="B643" s="102"/>
    </row>
    <row r="644">
      <c r="A644" s="102"/>
      <c r="B644" s="102"/>
    </row>
    <row r="645">
      <c r="A645" s="102"/>
      <c r="B645" s="102"/>
    </row>
    <row r="646">
      <c r="A646" s="102"/>
      <c r="B646" s="102"/>
    </row>
    <row r="647">
      <c r="A647" s="102"/>
      <c r="B647" s="102"/>
    </row>
    <row r="648">
      <c r="A648" s="102"/>
      <c r="B648" s="102"/>
    </row>
    <row r="649">
      <c r="A649" s="102"/>
      <c r="B649" s="102"/>
    </row>
    <row r="650">
      <c r="A650" s="102"/>
      <c r="B650" s="102"/>
    </row>
    <row r="651">
      <c r="A651" s="102"/>
      <c r="B651" s="102"/>
    </row>
    <row r="652">
      <c r="A652" s="102"/>
      <c r="B652" s="102"/>
    </row>
    <row r="653">
      <c r="A653" s="102"/>
      <c r="B653" s="102"/>
    </row>
    <row r="654">
      <c r="A654" s="102"/>
      <c r="B654" s="102"/>
    </row>
    <row r="655">
      <c r="A655" s="102"/>
      <c r="B655" s="102"/>
    </row>
    <row r="656">
      <c r="A656" s="102"/>
      <c r="B656" s="102"/>
    </row>
    <row r="657">
      <c r="A657" s="102"/>
      <c r="B657" s="102"/>
    </row>
    <row r="658">
      <c r="A658" s="102"/>
      <c r="B658" s="102"/>
    </row>
    <row r="659">
      <c r="A659" s="102"/>
      <c r="B659" s="102"/>
    </row>
    <row r="660">
      <c r="A660" s="102"/>
      <c r="B660" s="102"/>
    </row>
    <row r="661">
      <c r="A661" s="102"/>
      <c r="B661" s="102"/>
    </row>
    <row r="662">
      <c r="A662" s="102"/>
      <c r="B662" s="102"/>
    </row>
    <row r="663">
      <c r="A663" s="102"/>
      <c r="B663" s="102"/>
    </row>
    <row r="664">
      <c r="A664" s="102"/>
      <c r="B664" s="102"/>
    </row>
    <row r="665">
      <c r="A665" s="102"/>
      <c r="B665" s="102"/>
    </row>
    <row r="666">
      <c r="A666" s="102"/>
      <c r="B666" s="102"/>
    </row>
    <row r="667">
      <c r="A667" s="102"/>
      <c r="B667" s="102"/>
    </row>
    <row r="668">
      <c r="A668" s="102"/>
      <c r="B668" s="102"/>
    </row>
    <row r="669">
      <c r="A669" s="102"/>
      <c r="B669" s="102"/>
    </row>
    <row r="670">
      <c r="A670" s="102"/>
      <c r="B670" s="102"/>
    </row>
    <row r="671">
      <c r="A671" s="102"/>
      <c r="B671" s="102"/>
    </row>
    <row r="672">
      <c r="A672" s="102"/>
      <c r="B672" s="102"/>
    </row>
    <row r="673">
      <c r="A673" s="102"/>
      <c r="B673" s="102"/>
    </row>
    <row r="674">
      <c r="A674" s="102"/>
      <c r="B674" s="102"/>
    </row>
    <row r="675">
      <c r="A675" s="102"/>
      <c r="B675" s="102"/>
    </row>
    <row r="676">
      <c r="A676" s="102"/>
      <c r="B676" s="102"/>
    </row>
    <row r="677">
      <c r="A677" s="102"/>
      <c r="B677" s="102"/>
    </row>
    <row r="678">
      <c r="A678" s="102"/>
      <c r="B678" s="102"/>
    </row>
    <row r="679">
      <c r="A679" s="102"/>
      <c r="B679" s="102"/>
    </row>
    <row r="680">
      <c r="A680" s="102"/>
      <c r="B680" s="102"/>
    </row>
    <row r="681">
      <c r="A681" s="102"/>
      <c r="B681" s="102"/>
    </row>
    <row r="682">
      <c r="A682" s="102"/>
      <c r="B682" s="102"/>
    </row>
    <row r="683">
      <c r="A683" s="102"/>
      <c r="B683" s="102"/>
    </row>
    <row r="684">
      <c r="A684" s="102"/>
      <c r="B684" s="102"/>
    </row>
    <row r="685">
      <c r="A685" s="102"/>
      <c r="B685" s="102"/>
    </row>
    <row r="686">
      <c r="A686" s="102"/>
      <c r="B686" s="102"/>
    </row>
    <row r="687">
      <c r="A687" s="102"/>
      <c r="B687" s="102"/>
    </row>
    <row r="688">
      <c r="A688" s="102"/>
      <c r="B688" s="102"/>
    </row>
    <row r="689">
      <c r="A689" s="102"/>
      <c r="B689" s="102"/>
    </row>
    <row r="690">
      <c r="A690" s="102"/>
      <c r="B690" s="102"/>
    </row>
    <row r="691">
      <c r="A691" s="102"/>
      <c r="B691" s="102"/>
    </row>
    <row r="692">
      <c r="A692" s="102"/>
      <c r="B692" s="102"/>
    </row>
    <row r="693">
      <c r="A693" s="102"/>
      <c r="B693" s="102"/>
    </row>
    <row r="694">
      <c r="A694" s="102"/>
      <c r="B694" s="102"/>
    </row>
    <row r="695">
      <c r="A695" s="102"/>
      <c r="B695" s="102"/>
    </row>
    <row r="696">
      <c r="A696" s="102"/>
      <c r="B696" s="102"/>
    </row>
    <row r="697">
      <c r="A697" s="102"/>
      <c r="B697" s="102"/>
    </row>
    <row r="698">
      <c r="A698" s="102"/>
      <c r="B698" s="102"/>
    </row>
    <row r="699">
      <c r="A699" s="102"/>
      <c r="B699" s="102"/>
    </row>
    <row r="700">
      <c r="A700" s="102"/>
      <c r="B700" s="102"/>
    </row>
    <row r="701">
      <c r="A701" s="102"/>
      <c r="B701" s="102"/>
    </row>
    <row r="702">
      <c r="A702" s="102"/>
      <c r="B702" s="102"/>
    </row>
    <row r="703">
      <c r="A703" s="102"/>
      <c r="B703" s="102"/>
    </row>
    <row r="704">
      <c r="A704" s="102"/>
      <c r="B704" s="102"/>
    </row>
    <row r="705">
      <c r="A705" s="102"/>
      <c r="B705" s="102"/>
    </row>
    <row r="706">
      <c r="A706" s="102"/>
      <c r="B706" s="102"/>
    </row>
    <row r="707">
      <c r="A707" s="102"/>
      <c r="B707" s="102"/>
    </row>
    <row r="708">
      <c r="A708" s="102"/>
      <c r="B708" s="102"/>
    </row>
    <row r="709">
      <c r="A709" s="102"/>
      <c r="B709" s="102"/>
    </row>
    <row r="710">
      <c r="A710" s="102"/>
      <c r="B710" s="102"/>
    </row>
    <row r="711">
      <c r="A711" s="102"/>
      <c r="B711" s="102"/>
    </row>
    <row r="712">
      <c r="A712" s="102"/>
      <c r="B712" s="102"/>
    </row>
    <row r="713">
      <c r="A713" s="102"/>
      <c r="B713" s="102"/>
    </row>
    <row r="714">
      <c r="A714" s="102"/>
      <c r="B714" s="102"/>
    </row>
    <row r="715">
      <c r="A715" s="102"/>
      <c r="B715" s="102"/>
    </row>
    <row r="716">
      <c r="A716" s="102"/>
      <c r="B716" s="102"/>
    </row>
    <row r="717">
      <c r="A717" s="102"/>
      <c r="B717" s="102"/>
    </row>
    <row r="718">
      <c r="A718" s="102"/>
      <c r="B718" s="102"/>
    </row>
    <row r="719">
      <c r="A719" s="102"/>
      <c r="B719" s="102"/>
    </row>
    <row r="720">
      <c r="A720" s="102"/>
      <c r="B720" s="102"/>
    </row>
    <row r="721">
      <c r="A721" s="102"/>
      <c r="B721" s="102"/>
    </row>
    <row r="722">
      <c r="A722" s="102"/>
      <c r="B722" s="102"/>
    </row>
    <row r="723">
      <c r="A723" s="102"/>
      <c r="B723" s="102"/>
    </row>
    <row r="724">
      <c r="A724" s="102"/>
      <c r="B724" s="102"/>
    </row>
    <row r="725">
      <c r="A725" s="102"/>
      <c r="B725" s="102"/>
    </row>
    <row r="726">
      <c r="A726" s="102"/>
      <c r="B726" s="102"/>
    </row>
    <row r="727">
      <c r="A727" s="102"/>
      <c r="B727" s="102"/>
    </row>
    <row r="728">
      <c r="A728" s="102"/>
      <c r="B728" s="102"/>
    </row>
    <row r="729">
      <c r="A729" s="102"/>
      <c r="B729" s="102"/>
    </row>
    <row r="730">
      <c r="A730" s="102"/>
      <c r="B730" s="102"/>
    </row>
    <row r="731">
      <c r="A731" s="102"/>
      <c r="B731" s="102"/>
    </row>
    <row r="732">
      <c r="A732" s="102"/>
      <c r="B732" s="102"/>
    </row>
    <row r="733">
      <c r="A733" s="102"/>
      <c r="B733" s="102"/>
    </row>
    <row r="734">
      <c r="A734" s="102"/>
      <c r="B734" s="102"/>
    </row>
    <row r="735">
      <c r="A735" s="102"/>
      <c r="B735" s="102"/>
    </row>
    <row r="736">
      <c r="A736" s="102"/>
      <c r="B736" s="102"/>
    </row>
    <row r="737">
      <c r="A737" s="102"/>
      <c r="B737" s="102"/>
    </row>
    <row r="738">
      <c r="A738" s="102"/>
      <c r="B738" s="102"/>
    </row>
    <row r="739">
      <c r="A739" s="102"/>
      <c r="B739" s="102"/>
    </row>
    <row r="740">
      <c r="A740" s="102"/>
      <c r="B740" s="102"/>
    </row>
    <row r="741">
      <c r="A741" s="102"/>
      <c r="B741" s="102"/>
    </row>
    <row r="742">
      <c r="A742" s="102"/>
      <c r="B742" s="102"/>
    </row>
    <row r="743">
      <c r="A743" s="102"/>
      <c r="B743" s="102"/>
    </row>
    <row r="744">
      <c r="A744" s="102"/>
      <c r="B744" s="102"/>
    </row>
    <row r="745">
      <c r="A745" s="102"/>
      <c r="B745" s="102"/>
    </row>
    <row r="746">
      <c r="A746" s="102"/>
      <c r="B746" s="102"/>
    </row>
    <row r="747">
      <c r="A747" s="102"/>
      <c r="B747" s="102"/>
    </row>
    <row r="748">
      <c r="A748" s="102"/>
      <c r="B748" s="102"/>
    </row>
    <row r="749">
      <c r="A749" s="102"/>
      <c r="B749" s="102"/>
    </row>
    <row r="750">
      <c r="A750" s="102"/>
      <c r="B750" s="102"/>
    </row>
    <row r="751">
      <c r="A751" s="102"/>
      <c r="B751" s="102"/>
    </row>
    <row r="752">
      <c r="A752" s="102"/>
      <c r="B752" s="102"/>
    </row>
    <row r="753">
      <c r="A753" s="102"/>
      <c r="B753" s="102"/>
    </row>
    <row r="754">
      <c r="A754" s="102"/>
      <c r="B754" s="102"/>
    </row>
    <row r="755">
      <c r="A755" s="102"/>
      <c r="B755" s="102"/>
    </row>
    <row r="756">
      <c r="A756" s="102"/>
      <c r="B756" s="102"/>
    </row>
    <row r="757">
      <c r="A757" s="102"/>
      <c r="B757" s="102"/>
    </row>
    <row r="758">
      <c r="A758" s="102"/>
      <c r="B758" s="102"/>
    </row>
    <row r="759">
      <c r="A759" s="102"/>
      <c r="B759" s="102"/>
    </row>
    <row r="760">
      <c r="A760" s="102"/>
      <c r="B760" s="102"/>
    </row>
    <row r="761">
      <c r="A761" s="102"/>
      <c r="B761" s="102"/>
    </row>
    <row r="762">
      <c r="A762" s="102"/>
      <c r="B762" s="102"/>
    </row>
    <row r="763">
      <c r="A763" s="102"/>
      <c r="B763" s="102"/>
    </row>
    <row r="764">
      <c r="A764" s="102"/>
      <c r="B764" s="102"/>
    </row>
    <row r="765">
      <c r="A765" s="102"/>
      <c r="B765" s="102"/>
    </row>
    <row r="766">
      <c r="A766" s="102"/>
      <c r="B766" s="102"/>
    </row>
    <row r="767">
      <c r="A767" s="102"/>
      <c r="B767" s="102"/>
    </row>
    <row r="768">
      <c r="A768" s="102"/>
      <c r="B768" s="102"/>
    </row>
    <row r="769">
      <c r="A769" s="102"/>
      <c r="B769" s="102"/>
    </row>
    <row r="770">
      <c r="A770" s="102"/>
      <c r="B770" s="102"/>
    </row>
    <row r="771">
      <c r="A771" s="102"/>
      <c r="B771" s="102"/>
    </row>
    <row r="772">
      <c r="A772" s="102"/>
      <c r="B772" s="102"/>
    </row>
    <row r="773">
      <c r="A773" s="102"/>
      <c r="B773" s="102"/>
    </row>
    <row r="774">
      <c r="A774" s="102"/>
      <c r="B774" s="102"/>
    </row>
    <row r="775">
      <c r="A775" s="102"/>
      <c r="B775" s="102"/>
    </row>
    <row r="776">
      <c r="A776" s="102"/>
      <c r="B776" s="102"/>
    </row>
    <row r="777">
      <c r="A777" s="102"/>
      <c r="B777" s="102"/>
    </row>
    <row r="778">
      <c r="A778" s="102"/>
      <c r="B778" s="102"/>
    </row>
    <row r="779">
      <c r="A779" s="102"/>
      <c r="B779" s="102"/>
    </row>
    <row r="780">
      <c r="A780" s="102"/>
      <c r="B780" s="102"/>
    </row>
    <row r="781">
      <c r="A781" s="102"/>
      <c r="B781" s="102"/>
    </row>
    <row r="782">
      <c r="A782" s="102"/>
      <c r="B782" s="102"/>
    </row>
    <row r="783">
      <c r="A783" s="102"/>
      <c r="B783" s="102"/>
    </row>
    <row r="784">
      <c r="A784" s="102"/>
      <c r="B784" s="102"/>
    </row>
    <row r="785">
      <c r="A785" s="102"/>
      <c r="B785" s="102"/>
    </row>
    <row r="786">
      <c r="A786" s="102"/>
      <c r="B786" s="102"/>
    </row>
    <row r="787">
      <c r="A787" s="102"/>
      <c r="B787" s="102"/>
    </row>
    <row r="788">
      <c r="A788" s="102"/>
      <c r="B788" s="102"/>
    </row>
    <row r="789">
      <c r="A789" s="102"/>
      <c r="B789" s="102"/>
    </row>
    <row r="790">
      <c r="A790" s="102"/>
      <c r="B790" s="102"/>
    </row>
    <row r="791">
      <c r="A791" s="102"/>
      <c r="B791" s="102"/>
    </row>
    <row r="792">
      <c r="A792" s="102"/>
      <c r="B792" s="102"/>
    </row>
    <row r="793">
      <c r="A793" s="102"/>
      <c r="B793" s="102"/>
    </row>
    <row r="794">
      <c r="A794" s="102"/>
      <c r="B794" s="102"/>
    </row>
    <row r="795">
      <c r="A795" s="102"/>
      <c r="B795" s="102"/>
    </row>
    <row r="796">
      <c r="A796" s="102"/>
      <c r="B796" s="102"/>
    </row>
    <row r="797">
      <c r="A797" s="102"/>
      <c r="B797" s="102"/>
    </row>
    <row r="798">
      <c r="A798" s="102"/>
      <c r="B798" s="102"/>
    </row>
    <row r="799">
      <c r="A799" s="102"/>
      <c r="B799" s="102"/>
    </row>
    <row r="800">
      <c r="A800" s="102"/>
      <c r="B800" s="102"/>
    </row>
    <row r="801">
      <c r="A801" s="102"/>
      <c r="B801" s="102"/>
    </row>
    <row r="802">
      <c r="A802" s="102"/>
      <c r="B802" s="102"/>
    </row>
    <row r="803">
      <c r="A803" s="102"/>
      <c r="B803" s="102"/>
    </row>
    <row r="804">
      <c r="A804" s="102"/>
      <c r="B804" s="102"/>
    </row>
    <row r="805">
      <c r="A805" s="102"/>
      <c r="B805" s="102"/>
    </row>
    <row r="806">
      <c r="A806" s="102"/>
      <c r="B806" s="102"/>
    </row>
    <row r="807">
      <c r="A807" s="102"/>
      <c r="B807" s="102"/>
    </row>
    <row r="808">
      <c r="A808" s="102"/>
      <c r="B808" s="102"/>
    </row>
    <row r="809">
      <c r="A809" s="102"/>
      <c r="B809" s="102"/>
    </row>
    <row r="810">
      <c r="A810" s="102"/>
      <c r="B810" s="102"/>
    </row>
    <row r="811">
      <c r="A811" s="102"/>
      <c r="B811" s="102"/>
    </row>
    <row r="812">
      <c r="A812" s="102"/>
      <c r="B812" s="102"/>
    </row>
    <row r="813">
      <c r="A813" s="102"/>
      <c r="B813" s="102"/>
    </row>
    <row r="814">
      <c r="A814" s="102"/>
      <c r="B814" s="102"/>
    </row>
    <row r="815">
      <c r="A815" s="102"/>
      <c r="B815" s="102"/>
    </row>
    <row r="816">
      <c r="A816" s="102"/>
      <c r="B816" s="102"/>
    </row>
    <row r="817">
      <c r="A817" s="102"/>
      <c r="B817" s="102"/>
    </row>
    <row r="818">
      <c r="A818" s="102"/>
      <c r="B818" s="102"/>
    </row>
    <row r="819">
      <c r="A819" s="102"/>
      <c r="B819" s="102"/>
    </row>
    <row r="820">
      <c r="A820" s="102"/>
      <c r="B820" s="102"/>
    </row>
    <row r="821">
      <c r="A821" s="102"/>
      <c r="B821" s="102"/>
    </row>
    <row r="822">
      <c r="A822" s="102"/>
      <c r="B822" s="102"/>
    </row>
    <row r="823">
      <c r="A823" s="102"/>
      <c r="B823" s="102"/>
    </row>
    <row r="824">
      <c r="A824" s="102"/>
      <c r="B824" s="102"/>
    </row>
    <row r="825">
      <c r="A825" s="102"/>
      <c r="B825" s="102"/>
    </row>
    <row r="826">
      <c r="A826" s="102"/>
      <c r="B826" s="102"/>
    </row>
    <row r="827">
      <c r="A827" s="102"/>
      <c r="B827" s="102"/>
    </row>
    <row r="828">
      <c r="A828" s="102"/>
      <c r="B828" s="102"/>
    </row>
    <row r="829">
      <c r="A829" s="102"/>
      <c r="B829" s="102"/>
    </row>
    <row r="830">
      <c r="A830" s="102"/>
      <c r="B830" s="102"/>
    </row>
    <row r="831">
      <c r="A831" s="102"/>
      <c r="B831" s="102"/>
    </row>
    <row r="832">
      <c r="A832" s="102"/>
      <c r="B832" s="102"/>
    </row>
    <row r="833">
      <c r="A833" s="102"/>
      <c r="B833" s="102"/>
    </row>
    <row r="834">
      <c r="A834" s="102"/>
      <c r="B834" s="102"/>
    </row>
    <row r="835">
      <c r="A835" s="102"/>
      <c r="B835" s="102"/>
    </row>
    <row r="836">
      <c r="A836" s="102"/>
      <c r="B836" s="102"/>
    </row>
    <row r="837">
      <c r="A837" s="102"/>
      <c r="B837" s="102"/>
    </row>
    <row r="838">
      <c r="A838" s="102"/>
      <c r="B838" s="102"/>
    </row>
    <row r="839">
      <c r="A839" s="102"/>
      <c r="B839" s="102"/>
    </row>
    <row r="840">
      <c r="A840" s="102"/>
      <c r="B840" s="102"/>
    </row>
    <row r="841">
      <c r="A841" s="102"/>
      <c r="B841" s="102"/>
    </row>
    <row r="842">
      <c r="A842" s="102"/>
      <c r="B842" s="102"/>
    </row>
    <row r="843">
      <c r="A843" s="102"/>
      <c r="B843" s="102"/>
    </row>
    <row r="844">
      <c r="A844" s="102"/>
      <c r="B844" s="102"/>
    </row>
    <row r="845">
      <c r="A845" s="102"/>
      <c r="B845" s="102"/>
    </row>
    <row r="846">
      <c r="A846" s="102"/>
      <c r="B846" s="102"/>
    </row>
    <row r="847">
      <c r="A847" s="102"/>
      <c r="B847" s="102"/>
    </row>
    <row r="848">
      <c r="A848" s="102"/>
      <c r="B848" s="102"/>
    </row>
    <row r="849">
      <c r="A849" s="102"/>
      <c r="B849" s="102"/>
    </row>
    <row r="850">
      <c r="A850" s="102"/>
      <c r="B850" s="102"/>
    </row>
    <row r="851">
      <c r="A851" s="102"/>
      <c r="B851" s="102"/>
    </row>
    <row r="852">
      <c r="A852" s="102"/>
      <c r="B852" s="102"/>
    </row>
    <row r="853">
      <c r="A853" s="102"/>
      <c r="B853" s="102"/>
    </row>
    <row r="854">
      <c r="A854" s="102"/>
      <c r="B854" s="102"/>
    </row>
    <row r="855">
      <c r="A855" s="102"/>
      <c r="B855" s="102"/>
    </row>
    <row r="856">
      <c r="A856" s="102"/>
      <c r="B856" s="102"/>
    </row>
    <row r="857">
      <c r="A857" s="102"/>
      <c r="B857" s="102"/>
    </row>
    <row r="858">
      <c r="A858" s="102"/>
      <c r="B858" s="102"/>
    </row>
    <row r="859">
      <c r="A859" s="102"/>
      <c r="B859" s="102"/>
    </row>
    <row r="860">
      <c r="A860" s="102"/>
      <c r="B860" s="102"/>
    </row>
    <row r="861">
      <c r="A861" s="102"/>
      <c r="B861" s="102"/>
    </row>
    <row r="862">
      <c r="A862" s="102"/>
      <c r="B862" s="102"/>
    </row>
    <row r="863">
      <c r="A863" s="102"/>
      <c r="B863" s="102"/>
    </row>
    <row r="864">
      <c r="A864" s="102"/>
      <c r="B864" s="102"/>
    </row>
    <row r="865">
      <c r="A865" s="102"/>
      <c r="B865" s="102"/>
    </row>
    <row r="866">
      <c r="A866" s="102"/>
      <c r="B866" s="102"/>
    </row>
    <row r="867">
      <c r="A867" s="102"/>
      <c r="B867" s="102"/>
    </row>
    <row r="868">
      <c r="A868" s="102"/>
      <c r="B868" s="102"/>
    </row>
    <row r="869">
      <c r="A869" s="102"/>
      <c r="B869" s="102"/>
    </row>
    <row r="870">
      <c r="A870" s="102"/>
      <c r="B870" s="102"/>
    </row>
    <row r="871">
      <c r="A871" s="102"/>
      <c r="B871" s="102"/>
    </row>
    <row r="872">
      <c r="A872" s="102"/>
      <c r="B872" s="102"/>
    </row>
    <row r="873">
      <c r="A873" s="102"/>
      <c r="B873" s="102"/>
    </row>
    <row r="874">
      <c r="A874" s="102"/>
      <c r="B874" s="102"/>
    </row>
    <row r="875">
      <c r="A875" s="102"/>
      <c r="B875" s="102"/>
    </row>
  </sheetData>
  <mergeCells count="7">
    <mergeCell ref="A1:D1"/>
    <mergeCell ref="E1:G1"/>
    <mergeCell ref="H1:Z1"/>
    <mergeCell ref="E3:G32"/>
    <mergeCell ref="H12:M12"/>
    <mergeCell ref="H15:M23"/>
    <mergeCell ref="H25:L27"/>
  </mergeCells>
  <drawing r:id="rId1"/>
</worksheet>
</file>
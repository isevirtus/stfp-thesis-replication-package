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9f6614792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olhas do especialista" sheetId="1" r:id="Reeb720757b7d42c6"/>
    <x:sheet xmlns:r="http://schemas.openxmlformats.org/officeDocument/2006/relationships" name="Aceitabilidade" sheetId="2" r:id="R7ea3789ca49344f7"/>
    <x:sheet xmlns:r="http://schemas.openxmlformats.org/officeDocument/2006/relationships" name="Achados BN x Surrogate" sheetId="3" r:id="R2007df62327b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00"/>
    <x:numFmt numFmtId="202" formatCode="0.000"/>
    <x:numFmt numFmtId="203" formatCode="0.00%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3C"/>
      <x:name val="Carlito"/>
    </x:font>
    <x:font>
      <x:b/>
      <x:sz val="9"/>
      <x:color rgb="FFFFFFFF"/>
      <x:name val="Carlito"/>
    </x:font>
    <x:font>
      <x:sz val="9"/>
      <x:color rgb="FF20303C"/>
      <x:name val="Carlito"/>
    </x:font>
    <x:font>
      <x:b/>
      <x:sz val="11"/>
      <x:color rgb="FFFFFFFF"/>
      <x:name val="Carlito"/>
    </x:font>
    <x:font>
      <x:sz val="11"/>
      <x:color rgb="FF20303C"/>
      <x:name val="Carlito"/>
    </x:font>
    <x:font>
      <x:b/>
      <x:sz val="11"/>
      <x:color rgb="FF20303C"/>
      <x:name val="Carlito"/>
    </x:font>
    <x:font>
      <x:b/>
      <x:sz val="12"/>
      <x:color rgb="FF147D7A"/>
      <x:name val="Carlito"/>
    </x:font>
    <x:font>
      <x:i/>
      <x:sz val="11"/>
      <x:color rgb="FF6B4A00"/>
      <x:name val="Carlito"/>
    </x:font>
    <x:font>
      <x:sz val="8"/>
      <x:color rgb="FF51616C"/>
      <x:name val="Carlito"/>
    </x:font>
    <x:font>
      <x:i/>
      <x:sz val="8"/>
      <x:color rgb="FF6B4A00"/>
      <x:name val="Carlito"/>
    </x:font>
    <x:font>
      <x:b/>
      <x:sz val="9"/>
      <x:color rgb="FF147D7A"/>
      <x:name val="Carlito"/>
    </x:font>
    <x:font>
      <x:b/>
      <x:sz val="9"/>
      <x:color rgb="FF20303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2F8"/>
      </x:patternFill>
    </x:fill>
    <x:fill>
      <x:patternFill patternType="solid">
        <x:fgColor rgb="FF147D7A"/>
      </x:patternFill>
    </x:fill>
    <x:fill>
      <x:patternFill patternType="solid">
        <x:fgColor rgb="FFF3F6F8"/>
      </x:patternFill>
    </x:fill>
    <x:fill>
      <x:patternFill patternType="solid">
        <x:fgColor rgb="FFE6F4F1"/>
      </x:patternFill>
    </x:fill>
    <x:fill>
      <x:patternFill patternType="solid">
        <x:fgColor rgb="FFFFF4D6"/>
      </x:patternFill>
    </x:fill>
  </x:fills>
  <x:borders count="11">
    <x:border/>
    <x:border>
      <x:left style="thin">
        <x:color rgb="FF8FA4B3"/>
      </x:left>
      <x:right style="thin">
        <x:color rgb="FF8FA4B3"/>
      </x:right>
      <x:top style="thin">
        <x:color rgb="FF8FA4B3"/>
      </x:top>
      <x:bottom style="thin">
        <x:color rgb="FF8FA4B3"/>
      </x:bottom>
    </x:border>
    <x:border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left style="thin">
        <x:color rgb="FFD9E1E7"/>
      </x:left>
      <x:right style="thin">
        <x:color rgb="FFD9E1E7"/>
      </x:right>
      <x:top style="thin">
        <x:color rgb="FFD9E1E7"/>
      </x:top>
      <x:bottom style="thin">
        <x:color rgb="FFD9E1E7"/>
      </x:bottom>
    </x:border>
    <x:border>
      <x:left style="thin">
        <x:color rgb="FFD99A2B"/>
      </x:left>
      <x:top style="thin">
        <x:color rgb="FFD99A2B"/>
      </x:top>
    </x:border>
    <x:border>
      <x:top style="thin">
        <x:color rgb="FFD99A2B"/>
      </x:top>
    </x:border>
    <x:border>
      <x:right style="thin">
        <x:color rgb="FFD99A2B"/>
      </x:right>
      <x:top style="thin">
        <x:color rgb="FFD99A2B"/>
      </x:top>
    </x:border>
    <x:border>
      <x:left style="thin">
        <x:color rgb="FFD99A2B"/>
      </x:left>
      <x:bottom style="thin">
        <x:color rgb="FFD99A2B"/>
      </x:bottom>
    </x:border>
    <x:border>
      <x:bottom style="thin">
        <x:color rgb="FFD99A2B"/>
      </x:bottom>
    </x:border>
    <x:border>
      <x:right style="thin">
        <x:color rgb="FFD99A2B"/>
      </x:right>
      <x:bottom style="thin">
        <x:color rgb="FFD99A2B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5" borderId="4" xfId="0" applyNumberFormat="1" applyFont="1" applyFill="1" applyBorder="1"/>
    <x:xf numFmtId="0" fontId="7" fillId="5" borderId="4" xfId="0" applyNumberFormat="1" applyFont="1" applyFill="1" applyBorder="1"/>
    <x:xf numFmtId="0" fontId="6" fillId="6" borderId="4" xfId="0" applyNumberFormat="1" applyFont="1" applyFill="1" applyBorder="1"/>
    <x:xf numFmtId="0" fontId="8" fillId="6" borderId="4" xfId="0" applyNumberFormat="1" applyFont="1" applyFill="1" applyBorder="1"/>
    <x:xf numFmtId="0" fontId="8" fillId="6" borderId="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4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0" fontId="11" fillId="7" borderId="9" xfId="0" applyNumberFormat="1" applyFont="1" applyFill="1" applyBorder="1"/>
    <x:xf numFmtId="0" fontId="11" fillId="7" borderId="10" xfId="0" applyNumberFormat="1" applyFont="1" applyFill="1" applyBorder="1"/>
    <x:xf numFmtId="0" fontId="11" fillId="7" borderId="5" xfId="0" applyNumberFormat="1" applyFont="1" applyFill="1" applyBorder="1" applyAlignment="1">
      <x:alignment wrapText="1"/>
    </x:xf>
    <x:xf numFmtId="0" fontId="11" fillId="7" borderId="6" xfId="0" applyNumberFormat="1" applyFont="1" applyFill="1" applyBorder="1" applyAlignment="1">
      <x:alignment wrapText="1"/>
    </x:xf>
    <x:xf numFmtId="0" fontId="11" fillId="7" borderId="7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wrapText="1"/>
    </x:xf>
    <x:xf numFmtId="0" fontId="11" fillId="7" borderId="9" xfId="0" applyNumberFormat="1" applyFont="1" applyFill="1" applyBorder="1" applyAlignment="1">
      <x:alignment wrapText="1"/>
    </x:xf>
    <x:xf numFmtId="0" fontId="11" fillId="7" borderId="1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201" fontId="6" fillId="6" borderId="4" xfId="0" applyNumberFormat="1" applyFont="1" applyFill="1" applyBorder="1" applyAlignment="1">
      <x:alignment vertical="center" wrapText="1"/>
    </x:xf>
    <x:xf numFmtId="201" fontId="7" fillId="5" borderId="4" xfId="0" applyNumberFormat="1" applyFont="1" applyFill="1" applyBorder="1" applyAlignment="1">
      <x:alignment vertical="center" wrapText="1"/>
    </x:xf>
    <x:xf numFmtId="202" fontId="6" fillId="6" borderId="4" xfId="0" applyNumberFormat="1" applyFont="1" applyFill="1" applyBorder="1" applyAlignment="1">
      <x:alignment vertical="center" wrapText="1"/>
    </x:xf>
    <x:xf numFmtId="202" fontId="7" fillId="5" borderId="4" xfId="0" applyNumberFormat="1" applyFont="1" applyFill="1" applyBorder="1" applyAlignment="1">
      <x:alignment vertical="center" wrapText="1"/>
    </x:xf>
    <x:xf numFmtId="203" fontId="6" fillId="6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12" fillId="6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/>
    </x:xf>
    <x:xf numFmtId="201" fontId="4" fillId="0" borderId="4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vertical="top" wrapText="1"/>
    </x:xf>
    <x:xf numFmtId="0" fontId="13" fillId="5" borderId="4" xfId="0" applyNumberFormat="1" applyFont="1" applyFill="1" applyBorder="1" applyAlignment="1">
      <x:alignment vertical="top" wrapText="1"/>
    </x:xf>
    <x:xf numFmtId="200" fontId="8" fillId="6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17">
    <x:dxf>
      <x:font>
        <x:b/>
        <x:color rgb="FF147D7A"/>
      </x:font>
      <x:fill>
        <x:patternFill patternType="solid">
          <x:bgColor rgb="FFE6F4F1"/>
        </x:patternFill>
      </x:fill>
    </x:dxf>
    <x:dxf>
      <x:font>
        <x:color rgb="FF173B57"/>
      </x:font>
      <x:fill>
        <x:patternFill patternType="solid">
          <x:bgColor rgb="FFEAF2F8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color rgb="FF5A3E96"/>
      </x:font>
      <x:fill>
        <x:patternFill patternType="solid">
          <x:bgColor rgb="FFF0ECFA"/>
        </x:patternFill>
      </x:fill>
    </x:dxf>
    <x:dxf>
      <x:font>
        <x:b/>
        <x:color rgb="FFB83A3A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AF5EB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83A3A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AF5EB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83A3A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2E7D32"/>
      </x:font>
      <x:fill>
        <x:patternFill patternType="solid">
          <x:bgColor rgb="FFEAF5EB"/>
        </x:patternFill>
      </x:fill>
    </x:dxf>
    <x:dxf>
      <x:font>
        <x:b/>
        <x:color rgb="FF2E7D32"/>
      </x:font>
      <x:fill>
        <x:patternFill patternType="solid">
          <x:bgColor rgb="FFEAF5EB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B83A3A"/>
      </x:font>
      <x:fill>
        <x:patternFill patternType="solid">
          <x:bgColor rgb="FFFDECEC"/>
        </x:patternFill>
      </x:fill>
    </x:dxf>
    <x:dxf>
      <x:font>
        <x:i/>
        <x:color rgb="FF51616C"/>
      </x:font>
      <x:fill>
        <x:patternFill patternType="solid">
          <x:bgColor rgb="FFF3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017d1582544f9" /><Relationship Type="http://schemas.openxmlformats.org/officeDocument/2006/relationships/theme" Target="/xl/theme/theme1.xml" Id="Re805ad38b4864238" /><Relationship Type="http://schemas.openxmlformats.org/officeDocument/2006/relationships/sharedStrings" Target="/xl/sharedStrings.xml" Id="R19c69b07a35f4553" /><Relationship Type="http://schemas.openxmlformats.org/officeDocument/2006/relationships/worksheet" Target="/xl/worksheets/sheet1.xml" Id="Reeb720757b7d42c6" /><Relationship Type="http://schemas.openxmlformats.org/officeDocument/2006/relationships/worksheet" Target="/xl/worksheets/sheet2.xml" Id="R7ea3789ca49344f7" /><Relationship Type="http://schemas.openxmlformats.org/officeDocument/2006/relationships/worksheet" Target="/xl/worksheets/sheet3.xml" Id="R2007df62327b42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546857d50c49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28cf67065fc4e6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af598dc43d4d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Escolhas do GA calibrado por adversário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GA escolhido</c:v>
          </c:tx>
          <c:cat>
            <c:strRef>
              <c:f>'Escolhas do especialista'!$U$40:$U$42</c:f>
              <c:strCache>
                <c:ptCount val="0"/>
              </c:strCache>
            </c:strRef>
          </c:cat>
          <c:val>
            <c:numRef>
              <c:f>'Escolhas do especialista'!$V$40:$V$42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Adversário escolhido</c:v>
          </c:tx>
          <c:cat>
            <c:strRef>
              <c:f>'Escolhas do especialista'!$U$40:$U$42</c:f>
              <c:strCache>
                <c:ptCount val="0"/>
              </c:strCache>
            </c:strRef>
          </c:cat>
          <c:val>
            <c:numRef>
              <c:f>'Escolhas do especialista'!$W$40:$W$42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Equivalente</c:v>
          </c:tx>
          <c:cat>
            <c:strRef>
              <c:f>'Escolhas do especialista'!$U$40:$U$42</c:f>
              <c:strCache>
                <c:ptCount val="0"/>
              </c:strCache>
            </c:strRef>
          </c:cat>
          <c:val>
            <c:numRef>
              <c:f>'Escolhas do especialista'!$X$40:$X$42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da aceitabilidade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'Aceitabilidade'!$D$5:$D$8</c:f>
              <c:strCache>
                <c:ptCount val="0"/>
              </c:strCache>
            </c:strRef>
          </c:cat>
          <c:val>
            <c:numRef>
              <c:f>'Aceitabilidade'!$E$5:$E$8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Quem obteve maior escore da BN?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Pares</c:v>
          </c:tx>
          <c:cat>
            <c:strRef>
              <c:f>'Achados BN x Surrogate'!$J$5:$J$7</c:f>
              <c:strCache>
                <c:ptCount val="0"/>
              </c:strCache>
            </c:strRef>
          </c:cat>
          <c:val>
            <c:numRef>
              <c:f>'Achados BN x Surrogate'!$K$5:$K$7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43</xdr:row>
      <xdr:rowOff>0</xdr:rowOff>
    </xdr:from>
    <xdr:to>
      <xdr:col>26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546857d50c499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8cf67065fc4e6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af598dc43d4de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scolhasEspecialista" displayName="EscolhasEspecialista" ref="A3:S55" headerRowCount="1" totalsRowCount="0" totalsRowShown="0">
  <x:autoFilter ref="A3:S55"/>
  <x:tableColumns count="19">
    <x:tableColumn id="1" name="ID"/>
    <x:tableColumn id="2" name="Projeto"/>
    <x:tableColumn id="3" name="Tipo de comparação"/>
    <x:tableColumn id="4" name="Equipe A"/>
    <x:tableColumn id="5" name="Origem A"/>
    <x:tableColumn id="6" name="Integrantes A (IDs)"/>
    <x:tableColumn id="7" name="Equipe B"/>
    <x:tableColumn id="8" name="Origem B"/>
    <x:tableColumn id="9" name="Integrantes B (IDs)"/>
    <x:tableColumn id="10" name="Resposta do especialista"/>
    <x:tableColumn id="11" name="Equipe escolhida"/>
    <x:tableColumn id="12" name="Origem escolhida"/>
    <x:tableColumn id="13" name="GA calibrado venceu?"/>
    <x:tableColumn id="14" name="Repetição planejada?"/>
    <x:tableColumn id="15" name="Linha relacionada"/>
    <x:tableColumn id="16" name="Grupo real repetido"/>
    <x:tableColumn id="17" name="Consistência"/>
    <x:tableColumn id="18" name="Observação de consistência"/>
    <x:tableColumn id="19" name="Comentário do especialis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ceitabilidadeEquipes" displayName="AceitabilidadeEquipes" ref="A16:G32" headerRowCount="1" totalsRowCount="0" totalsRowShown="0">
  <x:autoFilter ref="A16:G32"/>
  <x:tableColumns count="7">
    <x:tableColumn id="1" name="ID"/>
    <x:tableColumn id="2" name="Projeto"/>
    <x:tableColumn id="3" name="Equipe"/>
    <x:tableColumn id="4" name="Integrantes"/>
    <x:tableColumn id="5" name="Resposta original"/>
    <x:tableColumn id="6" name="Status normalizado"/>
    <x:tableColumn id="7" name="Alteração solicita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sultadosPorProjeto" displayName="ResultadosPorProjeto" ref="A31:L47" headerRowCount="1" totalsRowCount="0" totalsRowShown="0">
  <x:tableColumns count="12">
    <x:tableColumn id="1" name="Projeto"/>
    <x:tableColumn id="2" name="n"/>
    <x:tableColumn id="3" name="Jaccard médio"/>
    <x:tableColumn id="4" name="Escore BN — GA-BN"/>
    <x:tableColumn id="5" name="Escore BN — GA-surrogate"/>
    <x:tableColumn id="6" name="Delta médio BN−surrogate"/>
    <x:tableColumn id="7" name="|Delta| médio"/>
    <x:tableColumn id="8" name="Dentro de 0,01"/>
    <x:tableColumn id="9" name="Dentro de 0,05"/>
    <x:tableColumn id="10" name="BN superior"/>
    <x:tableColumn id="11" name="Surrogate superior"/>
    <x:tableColumn id="12" name="Empa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dd081057ab423e" /><Relationship Type="http://schemas.openxmlformats.org/officeDocument/2006/relationships/table" Target="/xl/tables/table1.xml" Id="R34cd44abfda441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e25b878ad1e4f4e" /><Relationship Type="http://schemas.openxmlformats.org/officeDocument/2006/relationships/table" Target="/xl/tables/table2.xml" Id="Rf50ae4c8be394e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87262e9f4f147c7" /><Relationship Type="http://schemas.openxmlformats.org/officeDocument/2006/relationships/table" Target="/xl/tables/table3.xml" Id="Rf6e7fd96959d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11" hidden="0" customWidth="1"/>
    <x:col min="5" max="5" width="18" hidden="0" customWidth="1"/>
    <x:col min="6" max="6" width="29" hidden="0" customWidth="1"/>
    <x:col min="7" max="7" width="11" hidden="0" customWidth="1"/>
    <x:col min="8" max="8" width="18" hidden="0" customWidth="1"/>
    <x:col min="9" max="9" width="29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2" hidden="0" customWidth="1"/>
    <x:col min="17" max="17" width="15" hidden="0" customWidth="1"/>
    <x:col min="18" max="18" width="34" hidden="0" customWidth="1"/>
    <x:col min="19" max="19" width="30" hidden="0" customWidth="1"/>
    <x:col min="20" max="20" width="3" hidden="0" customWidth="1"/>
    <x:col min="21" max="21" width="26" hidden="0" customWidth="1"/>
    <x:col min="22" max="22" width="18" hidden="0" customWidth="1"/>
    <x:col min="23" max="23" width="18" hidden="0" customWidth="1"/>
    <x:col min="24" max="24" width="16" hidden="0" customWidth="1"/>
    <x:col min="25" max="25" width="35" hidden="0" customWidth="1"/>
    <x:col min="26" max="26" width="42" hidden="0" customWidth="1"/>
  </x:cols>
  <x:sheetData>
    <x:row r="1" ht="22" customHeight="1">
      <x:c r="A1" s="4" t="str">
        <x:v>Resultados das escolhas do especialista</x:v>
      </x:c>
      <x:c r="B1" s="4" t="str">
        <x:v>Resultados das escolhas do especialista</x:v>
      </x:c>
      <x:c r="C1" s="4" t="str">
        <x:v>Resultados das escolhas do especialista</x:v>
      </x:c>
      <x:c r="D1" s="4" t="str">
        <x:v>Resultados das escolhas do especialista</x:v>
      </x:c>
      <x:c r="E1" s="4" t="str">
        <x:v>Resultados das escolhas do especialista</x:v>
      </x:c>
      <x:c r="F1" s="4" t="str">
        <x:v>Resultados das escolhas do especialista</x:v>
      </x:c>
      <x:c r="G1" s="4" t="str">
        <x:v>Resultados das escolhas do especialista</x:v>
      </x:c>
      <x:c r="H1" s="4" t="str">
        <x:v>Resultados das escolhas do especialista</x:v>
      </x:c>
      <x:c r="I1" s="4" t="str">
        <x:v>Resultados das escolhas do especialista</x:v>
      </x:c>
      <x:c r="J1" s="4" t="str">
        <x:v>Resultados das escolhas do especialista</x:v>
      </x:c>
      <x:c r="K1" s="4" t="str">
        <x:v>Resultados das escolhas do especialista</x:v>
      </x:c>
      <x:c r="L1" s="4" t="str">
        <x:v>Resultados das escolhas do especialista</x:v>
      </x:c>
      <x:c r="M1" s="4" t="str">
        <x:v>Resultados das escolhas do especialista</x:v>
      </x:c>
      <x:c r="N1" s="4" t="str">
        <x:v>Resultados das escolhas do especialista</x:v>
      </x:c>
      <x:c r="O1" s="4" t="str">
        <x:v>Resultados das escolhas do especialista</x:v>
      </x:c>
      <x:c r="P1" s="4" t="str">
        <x:v>Resultados das escolhas do especialista</x:v>
      </x:c>
      <x:c r="Q1" s="4" t="str">
        <x:v>Resultados das escolhas do especialista</x:v>
      </x:c>
      <x:c r="R1" s="4" t="str">
        <x:v>Resultados das escolhas do especialista</x:v>
      </x:c>
      <x:c r="S1" s="4" t="str">
        <x:v>Resultados das escolhas do especialista</x:v>
      </x:c>
      <x:c r="U1" s="24" t="str">
        <x:v>Resumo auditável</x:v>
      </x:c>
      <x:c r="V1" s="24" t="str">
        <x:v>Resumo auditável</x:v>
      </x:c>
      <x:c r="W1" s="24" t="str">
        <x:v>Resumo auditável</x:v>
      </x:c>
    </x:row>
    <x:row r="2">
      <x:c r="A2" s="7" t="str">
        <x:v>Todas as 52 linhas de comparação, cruzadas com a chave oculta A/B e normalizadas pelo conjunto real de integrantes.</x:v>
      </x:c>
      <x:c r="B2" s="7" t="str">
        <x:v>Todas as 52 linhas de comparação, cruzadas com a chave oculta A/B e normalizadas pelo conjunto real de integrantes.</x:v>
      </x:c>
      <x:c r="C2" s="7" t="str">
        <x:v>Todas as 52 linhas de comparação, cruzadas com a chave oculta A/B e normalizadas pelo conjunto real de integrantes.</x:v>
      </x:c>
      <x:c r="D2" s="7" t="str">
        <x:v>Todas as 52 linhas de comparação, cruzadas com a chave oculta A/B e normalizadas pelo conjunto real de integrantes.</x:v>
      </x:c>
      <x:c r="E2" s="7" t="str">
        <x:v>Todas as 52 linhas de comparação, cruzadas com a chave oculta A/B e normalizadas pelo conjunto real de integrantes.</x:v>
      </x:c>
      <x:c r="F2" s="7" t="str">
        <x:v>Todas as 52 linhas de comparação, cruzadas com a chave oculta A/B e normalizadas pelo conjunto real de integrantes.</x:v>
      </x:c>
      <x:c r="G2" s="7" t="str">
        <x:v>Todas as 52 linhas de comparação, cruzadas com a chave oculta A/B e normalizadas pelo conjunto real de integrantes.</x:v>
      </x:c>
      <x:c r="H2" s="7" t="str">
        <x:v>Todas as 52 linhas de comparação, cruzadas com a chave oculta A/B e normalizadas pelo conjunto real de integrantes.</x:v>
      </x:c>
      <x:c r="I2" s="7" t="str">
        <x:v>Todas as 52 linhas de comparação, cruzadas com a chave oculta A/B e normalizadas pelo conjunto real de integrantes.</x:v>
      </x:c>
      <x:c r="J2" s="7" t="str">
        <x:v>Todas as 52 linhas de comparação, cruzadas com a chave oculta A/B e normalizadas pelo conjunto real de integrantes.</x:v>
      </x:c>
      <x:c r="K2" s="7" t="str">
        <x:v>Todas as 52 linhas de comparação, cruzadas com a chave oculta A/B e normalizadas pelo conjunto real de integrantes.</x:v>
      </x:c>
      <x:c r="L2" s="7" t="str">
        <x:v>Todas as 52 linhas de comparação, cruzadas com a chave oculta A/B e normalizadas pelo conjunto real de integrantes.</x:v>
      </x:c>
      <x:c r="M2" s="7" t="str">
        <x:v>Todas as 52 linhas de comparação, cruzadas com a chave oculta A/B e normalizadas pelo conjunto real de integrantes.</x:v>
      </x:c>
      <x:c r="N2" s="7" t="str">
        <x:v>Todas as 52 linhas de comparação, cruzadas com a chave oculta A/B e normalizadas pelo conjunto real de integrantes.</x:v>
      </x:c>
      <x:c r="O2" s="7" t="str">
        <x:v>Todas as 52 linhas de comparação, cruzadas com a chave oculta A/B e normalizadas pelo conjunto real de integrantes.</x:v>
      </x:c>
      <x:c r="P2" s="7" t="str">
        <x:v>Todas as 52 linhas de comparação, cruzadas com a chave oculta A/B e normalizadas pelo conjunto real de integrantes.</x:v>
      </x:c>
      <x:c r="Q2" s="7" t="str">
        <x:v>Todas as 52 linhas de comparação, cruzadas com a chave oculta A/B e normalizadas pelo conjunto real de integrantes.</x:v>
      </x:c>
      <x:c r="R2" s="7" t="str">
        <x:v>Todas as 52 linhas de comparação, cruzadas com a chave oculta A/B e normalizadas pelo conjunto real de integrantes.</x:v>
      </x:c>
      <x:c r="S2" s="7" t="str">
        <x:v>Todas as 52 linhas de comparação, cruzadas com a chave oculta A/B e normalizadas pelo conjunto real de integrantes.</x:v>
      </x:c>
      <x:c r="U2" s="28" t="str">
        <x:v>Linhas de comparação</x:v>
      </x:c>
      <x:c r="V2" s="31" t="n">
        <x:f>COUNTA(A4:A55)</x:f>
        <x:v>52</x:v>
      </x:c>
    </x:row>
    <x:row r="3" ht="34" customHeight="1">
      <x:c r="A3" s="12" t="str">
        <x:v>ID</x:v>
      </x:c>
      <x:c r="B3" s="12" t="str">
        <x:v>Projeto</x:v>
      </x:c>
      <x:c r="C3" s="12" t="str">
        <x:v>Tipo de comparação</x:v>
      </x:c>
      <x:c r="D3" s="12" t="str">
        <x:v>Equipe A</x:v>
      </x:c>
      <x:c r="E3" s="12" t="str">
        <x:v>Origem A</x:v>
      </x:c>
      <x:c r="F3" s="12" t="str">
        <x:v>Integrantes A (IDs)</x:v>
      </x:c>
      <x:c r="G3" s="12" t="str">
        <x:v>Equipe B</x:v>
      </x:c>
      <x:c r="H3" s="12" t="str">
        <x:v>Origem B</x:v>
      </x:c>
      <x:c r="I3" s="12" t="str">
        <x:v>Integrantes B (IDs)</x:v>
      </x:c>
      <x:c r="J3" s="12" t="str">
        <x:v>Resposta do especialista</x:v>
      </x:c>
      <x:c r="K3" s="12" t="str">
        <x:v>Equipe escolhida</x:v>
      </x:c>
      <x:c r="L3" s="12" t="str">
        <x:v>Origem escolhida</x:v>
      </x:c>
      <x:c r="M3" s="12" t="str">
        <x:v>GA calibrado venceu?</x:v>
      </x:c>
      <x:c r="N3" s="12" t="str">
        <x:v>Repetição planejada?</x:v>
      </x:c>
      <x:c r="O3" s="12" t="str">
        <x:v>Linha relacionada</x:v>
      </x:c>
      <x:c r="P3" s="12" t="str">
        <x:v>Grupo real repetido</x:v>
      </x:c>
      <x:c r="Q3" s="12" t="str">
        <x:v>Consistência</x:v>
      </x:c>
      <x:c r="R3" s="12" t="str">
        <x:v>Observação de consistência</x:v>
      </x:c>
      <x:c r="S3" s="12" t="str">
        <x:v>Comentário do especialista</x:v>
      </x:c>
      <x:c r="U3" s="28" t="str">
        <x:v>Respondidas</x:v>
      </x:c>
      <x:c r="V3" s="31" t="n">
        <x:f>COUNTIF(J4:J55,"&lt;&gt;Sem resposta")</x:f>
        <x:v>52</x:v>
      </x:c>
    </x:row>
    <x:row r="4" ht="38" customHeight="1">
      <x:c r="A4" s="20" t="str">
        <x:v>C001</x:v>
      </x:c>
      <x:c r="B4" s="20" t="str">
        <x:v>P10</x:v>
      </x:c>
      <x:c r="C4" s="20" t="str">
        <x:v>GA calibrado × equipe histórica</x:v>
      </x:c>
      <x:c r="D4" s="20" t="str">
        <x:v>T-9473</x:v>
      </x:c>
      <x:c r="E4" s="20" t="str">
        <x:v>Equipe histórica</x:v>
      </x:c>
      <x:c r="F4" s="18" t="str">
        <x:v>27, 94, 183, 290, 354, 382, 402, 615</x:v>
      </x:c>
      <x:c r="G4" s="20" t="str">
        <x:v>T-5887</x:v>
      </x:c>
      <x:c r="H4" s="20" t="str">
        <x:v>GA calibrado</x:v>
      </x:c>
      <x:c r="I4" s="18" t="str">
        <x:v>27, 94, 257, 382, 477, 492, 496, 615</x:v>
      </x:c>
      <x:c r="J4" s="20" t="str">
        <x:v>A</x:v>
      </x:c>
      <x:c r="K4" s="20" t="str">
        <x:v>T-9473</x:v>
      </x:c>
      <x:c r="L4" s="20" t="str">
        <x:v>Equipe histórica</x:v>
      </x:c>
      <x:c r="M4" s="20" t="str">
        <x:v>Não</x:v>
      </x:c>
      <x:c r="N4" s="20" t="str">
        <x:v>Não</x:v>
      </x:c>
      <x:c r="O4" s="20" t="str"/>
      <x:c r="P4" s="20" t="str">
        <x:v>R01</x:v>
      </x:c>
      <x:c r="Q4" s="20" t="str">
        <x:v>Consistente</x:v>
      </x:c>
      <x:c r="R4" s="18" t="str">
        <x:v>A mesma dupla de composições foi avaliada mais de uma vez; a decisão normalizada pelo conjunto de integrantes foi mantida.</x:v>
      </x:c>
      <x:c r="S4" s="18" t="str"/>
      <x:c r="U4" s="28" t="str">
        <x:v>Pares únicos de composições</x:v>
      </x:c>
      <x:c r="V4" s="31" t="n">
        <x:v>40</x:v>
      </x:c>
    </x:row>
    <x:row r="5" ht="38" customHeight="1">
      <x:c r="A5" s="21" t="str">
        <x:v>C002</x:v>
      </x:c>
      <x:c r="B5" s="21" t="str">
        <x:v>P5</x:v>
      </x:c>
      <x:c r="C5" s="21" t="str">
        <x:v>GA calibrado × LLM</x:v>
      </x:c>
      <x:c r="D5" s="21" t="str">
        <x:v>T-3745</x:v>
      </x:c>
      <x:c r="E5" s="21" t="str">
        <x:v>LLM</x:v>
      </x:c>
      <x:c r="F5" s="19" t="str">
        <x:v>27, 317, 351, 516</x:v>
      </x:c>
      <x:c r="G5" s="21" t="str">
        <x:v>T-2822</x:v>
      </x:c>
      <x:c r="H5" s="21" t="str">
        <x:v>GA calibrado</x:v>
      </x:c>
      <x:c r="I5" s="19" t="str">
        <x:v>316, 398, 415, 467</x:v>
      </x:c>
      <x:c r="J5" s="21" t="str">
        <x:v>A</x:v>
      </x:c>
      <x:c r="K5" s="21" t="str">
        <x:v>T-3745</x:v>
      </x:c>
      <x:c r="L5" s="21" t="str">
        <x:v>LLM</x:v>
      </x:c>
      <x:c r="M5" s="21" t="str">
        <x:v>Não</x:v>
      </x:c>
      <x:c r="N5" s="21" t="str">
        <x:v>Não</x:v>
      </x:c>
      <x:c r="O5" s="21" t="str"/>
      <x:c r="P5" s="21" t="str">
        <x:v>R02</x:v>
      </x:c>
      <x:c r="Q5" s="21" t="str">
        <x:v>Consistente</x:v>
      </x:c>
      <x:c r="R5" s="19" t="str">
        <x:v>A mesma dupla de composições foi avaliada mais de uma vez; a decisão normalizada pelo conjunto de integrantes foi mantida.</x:v>
      </x:c>
      <x:c r="S5" s="19" t="str"/>
      <x:c r="U5" s="28" t="str">
        <x:v>Grupos repetidos inconsistentes</x:v>
      </x:c>
      <x:c r="V5" s="31" t="n">
        <x:v>3</x:v>
      </x:c>
    </x:row>
    <x:row r="6" ht="38" customHeight="1">
      <x:c r="A6" s="21" t="str">
        <x:v>C003</x:v>
      </x:c>
      <x:c r="B6" s="21" t="str">
        <x:v>P16</x:v>
      </x:c>
      <x:c r="C6" s="21" t="str">
        <x:v>GA calibrado × LLM</x:v>
      </x:c>
      <x:c r="D6" s="21" t="str">
        <x:v>T-6812</x:v>
      </x:c>
      <x:c r="E6" s="21" t="str">
        <x:v>LLM</x:v>
      </x:c>
      <x:c r="F6" s="19" t="str">
        <x:v>265, 363, 402, 495, 509, 620, 677, 692, 725</x:v>
      </x:c>
      <x:c r="G6" s="21" t="str">
        <x:v>T-9373</x:v>
      </x:c>
      <x:c r="H6" s="21" t="str">
        <x:v>GA calibrado</x:v>
      </x:c>
      <x:c r="I6" s="19" t="str">
        <x:v>81, 282, 316, 317, 336, 370, 398, 415, 467</x:v>
      </x:c>
      <x:c r="J6" s="21" t="str">
        <x:v>B</x:v>
      </x:c>
      <x:c r="K6" s="21" t="str">
        <x:v>T-9373</x:v>
      </x:c>
      <x:c r="L6" s="21" t="str">
        <x:v>GA calibrado</x:v>
      </x:c>
      <x:c r="M6" s="21" t="str">
        <x:v>Sim</x:v>
      </x:c>
      <x:c r="N6" s="21" t="str">
        <x:v>Não</x:v>
      </x:c>
      <x:c r="O6" s="21" t="str"/>
      <x:c r="P6" s="21" t="str">
        <x:v>R03</x:v>
      </x:c>
      <x:c r="Q6" s="21" t="str">
        <x:v>Inconsistente</x:v>
      </x:c>
      <x:c r="R6" s="19" t="str">
        <x:v>A mesma dupla de composições foi avaliada mais de uma vez, mas a composição escolhida mudou.</x:v>
      </x:c>
      <x:c r="S6" s="19" t="str"/>
      <x:c r="U6" s="28" t="str">
        <x:v>Linhas sem resposta</x:v>
      </x:c>
      <x:c r="V6" s="31" t="n">
        <x:f>COUNTIF(J4:J55,"Sem resposta")</x:f>
        <x:v>0</x:v>
      </x:c>
    </x:row>
    <x:row r="7" ht="38" customHeight="1">
      <x:c r="A7" s="21" t="str">
        <x:v>C004</x:v>
      </x:c>
      <x:c r="B7" s="21" t="str">
        <x:v>P4</x:v>
      </x:c>
      <x:c r="C7" s="21" t="str">
        <x:v>GA calibrado × equipe histórica</x:v>
      </x:c>
      <x:c r="D7" s="21" t="str">
        <x:v>T-1128</x:v>
      </x:c>
      <x:c r="E7" s="21" t="str">
        <x:v>Equipe histórica</x:v>
      </x:c>
      <x:c r="F7" s="19" t="str">
        <x:v>105, 142, 225, 354, 490, 532, 551, 686, 728</x:v>
      </x:c>
      <x:c r="G7" s="21" t="str">
        <x:v>T-2703</x:v>
      </x:c>
      <x:c r="H7" s="21" t="str">
        <x:v>GA calibrado</x:v>
      </x:c>
      <x:c r="I7" s="19" t="str">
        <x:v>27, 94, 257, 382, 477, 492, 496, 500, 615</x:v>
      </x:c>
      <x:c r="J7" s="21" t="str">
        <x:v>A</x:v>
      </x:c>
      <x:c r="K7" s="21" t="str">
        <x:v>T-1128</x:v>
      </x:c>
      <x:c r="L7" s="21" t="str">
        <x:v>Equipe histórica</x:v>
      </x:c>
      <x:c r="M7" s="21" t="str">
        <x:v>Não</x:v>
      </x:c>
      <x:c r="N7" s="21" t="str">
        <x:v>Sim</x:v>
      </x:c>
      <x:c r="O7" s="21" t="str">
        <x:v>C006</x:v>
      </x:c>
      <x:c r="P7" s="21" t="str">
        <x:v>R04</x:v>
      </x:c>
      <x:c r="Q7" s="21" t="str">
        <x:v>Consistente</x:v>
      </x:c>
      <x:c r="R7" s="19" t="str">
        <x:v>A mesma dupla de composições foi avaliada mais de uma vez; a decisão normalizada pelo conjunto de integrantes foi mantida.</x:v>
      </x:c>
      <x:c r="S7" s="19" t="str"/>
    </x:row>
    <x:row r="8" ht="38" customHeight="1">
      <x:c r="A8" s="21" t="str">
        <x:v>C005</x:v>
      </x:c>
      <x:c r="B8" s="21" t="str">
        <x:v>P14</x:v>
      </x:c>
      <x:c r="C8" s="21" t="str">
        <x:v>GA calibrado × equipe histórica</x:v>
      </x:c>
      <x:c r="D8" s="21" t="str">
        <x:v>T-2098</x:v>
      </x:c>
      <x:c r="E8" s="21" t="str">
        <x:v>GA calibrado</x:v>
      </x:c>
      <x:c r="F8" s="19" t="str">
        <x:v>220, 357, 359, 503</x:v>
      </x:c>
      <x:c r="G8" s="21" t="str">
        <x:v>T-5194</x:v>
      </x:c>
      <x:c r="H8" s="21" t="str">
        <x:v>Equipe histórica</x:v>
      </x:c>
      <x:c r="I8" s="19" t="str">
        <x:v>468, 637, 705, 744</x:v>
      </x:c>
      <x:c r="J8" s="21" t="str">
        <x:v>B</x:v>
      </x:c>
      <x:c r="K8" s="21" t="str">
        <x:v>T-5194</x:v>
      </x:c>
      <x:c r="L8" s="21" t="str">
        <x:v>Equipe histórica</x:v>
      </x:c>
      <x:c r="M8" s="21" t="str">
        <x:v>Não</x:v>
      </x:c>
      <x:c r="N8" s="21" t="str">
        <x:v>Não</x:v>
      </x:c>
      <x:c r="O8" s="21" t="str"/>
      <x:c r="P8" s="21" t="str"/>
      <x:c r="Q8" s="21" t="str">
        <x:v>Não se aplica</x:v>
      </x:c>
      <x:c r="R8" s="19" t="str">
        <x:v>Comparação única para esta dupla de composições.</x:v>
      </x:c>
      <x:c r="S8" s="19" t="str"/>
      <x:c r="U8" s="24" t="str">
        <x:v>Escolhas brutas por linha</x:v>
      </x:c>
      <x:c r="V8" s="24" t="str">
        <x:v>Escolhas brutas por linha</x:v>
      </x:c>
      <x:c r="W8" s="24" t="str">
        <x:v>Escolhas brutas por linha</x:v>
      </x:c>
    </x:row>
    <x:row r="9" ht="38" customHeight="1">
      <x:c r="A9" s="21" t="str">
        <x:v>C006</x:v>
      </x:c>
      <x:c r="B9" s="21" t="str">
        <x:v>P4</x:v>
      </x:c>
      <x:c r="C9" s="21" t="str">
        <x:v>GA calibrado × equipe histórica</x:v>
      </x:c>
      <x:c r="D9" s="21" t="str">
        <x:v>T-2703</x:v>
      </x:c>
      <x:c r="E9" s="21" t="str">
        <x:v>GA calibrado</x:v>
      </x:c>
      <x:c r="F9" s="19" t="str">
        <x:v>27, 94, 257, 382, 477, 492, 496, 500, 615</x:v>
      </x:c>
      <x:c r="G9" s="21" t="str">
        <x:v>T-1128</x:v>
      </x:c>
      <x:c r="H9" s="21" t="str">
        <x:v>Equipe histórica</x:v>
      </x:c>
      <x:c r="I9" s="19" t="str">
        <x:v>105, 142, 225, 354, 490, 532, 551, 686, 728</x:v>
      </x:c>
      <x:c r="J9" s="21" t="str">
        <x:v>B</x:v>
      </x:c>
      <x:c r="K9" s="21" t="str">
        <x:v>T-1128</x:v>
      </x:c>
      <x:c r="L9" s="21" t="str">
        <x:v>Equipe histórica</x:v>
      </x:c>
      <x:c r="M9" s="21" t="str">
        <x:v>Não</x:v>
      </x:c>
      <x:c r="N9" s="21" t="str">
        <x:v>Não</x:v>
      </x:c>
      <x:c r="O9" s="21" t="str"/>
      <x:c r="P9" s="21" t="str">
        <x:v>R04</x:v>
      </x:c>
      <x:c r="Q9" s="21" t="str">
        <x:v>Consistente</x:v>
      </x:c>
      <x:c r="R9" s="19" t="str">
        <x:v>A mesma dupla de composições foi avaliada mais de uma vez; a decisão normalizada pelo conjunto de integrantes foi mantida.</x:v>
      </x:c>
      <x:c r="S9" s="19" t="str"/>
      <x:c r="U9" s="12" t="str">
        <x:v>Origem/resultado</x:v>
      </x:c>
      <x:c r="V9" s="12" t="str">
        <x:v>Quantidade</x:v>
      </x:c>
      <x:c r="W9" s="12" t="str">
        <x:v>% das 52 linhas</x:v>
      </x:c>
    </x:row>
    <x:row r="10" ht="38" customHeight="1">
      <x:c r="A10" s="21" t="str">
        <x:v>C007</x:v>
      </x:c>
      <x:c r="B10" s="21" t="str">
        <x:v>P8</x:v>
      </x:c>
      <x:c r="C10" s="21" t="str">
        <x:v>GA calibrado × GA uniforme</x:v>
      </x:c>
      <x:c r="D10" s="21" t="str">
        <x:v>T-1457</x:v>
      </x:c>
      <x:c r="E10" s="21" t="str">
        <x:v>GA calibrado</x:v>
      </x:c>
      <x:c r="F10" s="19" t="str">
        <x:v>81, 336, 370, 398, 415</x:v>
      </x:c>
      <x:c r="G10" s="21" t="str">
        <x:v>T-7723</x:v>
      </x:c>
      <x:c r="H10" s="21" t="str">
        <x:v>GA uniforme</x:v>
      </x:c>
      <x:c r="I10" s="19" t="str">
        <x:v>81, 282, 336, 370, 415</x:v>
      </x:c>
      <x:c r="J10" s="21" t="str">
        <x:v>B</x:v>
      </x:c>
      <x:c r="K10" s="21" t="str">
        <x:v>T-7723</x:v>
      </x:c>
      <x:c r="L10" s="21" t="str">
        <x:v>GA uniforme</x:v>
      </x:c>
      <x:c r="M10" s="21" t="str">
        <x:v>Não</x:v>
      </x:c>
      <x:c r="N10" s="21" t="str">
        <x:v>Não</x:v>
      </x:c>
      <x:c r="O10" s="21" t="str"/>
      <x:c r="P10" s="21" t="str"/>
      <x:c r="Q10" s="21" t="str">
        <x:v>Não se aplica</x:v>
      </x:c>
      <x:c r="R10" s="19" t="str">
        <x:v>Comparação única para esta dupla de composições.</x:v>
      </x:c>
      <x:c r="S10" s="19" t="str"/>
      <x:c r="U10" s="26" t="str">
        <x:v>Equipe histórica</x:v>
      </x:c>
      <x:c r="V10" s="26" t="n">
        <x:f>COUNTIF(L4:L55,U10)</x:f>
        <x:v>15</x:v>
      </x:c>
      <x:c r="W10" s="34" t="n">
        <x:f>V10/$V$2</x:f>
        <x:v>0.28846153846153844</x:v>
      </x:c>
    </x:row>
    <x:row r="11" ht="38" customHeight="1">
      <x:c r="A11" s="21" t="str">
        <x:v>C008</x:v>
      </x:c>
      <x:c r="B11" s="21" t="str">
        <x:v>P4</x:v>
      </x:c>
      <x:c r="C11" s="21" t="str">
        <x:v>GA calibrado × LLM</x:v>
      </x:c>
      <x:c r="D11" s="21" t="str">
        <x:v>T-2703</x:v>
      </x:c>
      <x:c r="E11" s="21" t="str">
        <x:v>GA calibrado</x:v>
      </x:c>
      <x:c r="F11" s="19" t="str">
        <x:v>27, 94, 257, 382, 477, 492, 496, 500, 615</x:v>
      </x:c>
      <x:c r="G11" s="21" t="str">
        <x:v>T-5371</x:v>
      </x:c>
      <x:c r="H11" s="21" t="str">
        <x:v>LLM</x:v>
      </x:c>
      <x:c r="I11" s="19" t="str">
        <x:v>105, 142, 183, 354, 490, 532, 551, 686, 728</x:v>
      </x:c>
      <x:c r="J11" s="21" t="str">
        <x:v>A</x:v>
      </x:c>
      <x:c r="K11" s="21" t="str">
        <x:v>T-2703</x:v>
      </x:c>
      <x:c r="L11" s="21" t="str">
        <x:v>GA calibrado</x:v>
      </x:c>
      <x:c r="M11" s="21" t="str">
        <x:v>Sim</x:v>
      </x:c>
      <x:c r="N11" s="21" t="str">
        <x:v>Não</x:v>
      </x:c>
      <x:c r="O11" s="21" t="str"/>
      <x:c r="P11" s="21" t="str"/>
      <x:c r="Q11" s="21" t="str">
        <x:v>Não se aplica</x:v>
      </x:c>
      <x:c r="R11" s="19" t="str">
        <x:v>Comparação única para esta dupla de composições.</x:v>
      </x:c>
      <x:c r="S11" s="19" t="str"/>
      <x:c r="U11" s="26" t="str">
        <x:v>LLM</x:v>
      </x:c>
      <x:c r="V11" s="26" t="n">
        <x:f>COUNTIF(L5:L56,U11)</x:f>
        <x:v>14</x:v>
      </x:c>
      <x:c r="W11" s="34" t="n">
        <x:f>V11/$V$2</x:f>
        <x:v>0.2692307692307692</x:v>
      </x:c>
    </x:row>
    <x:row r="12" ht="38" customHeight="1">
      <x:c r="A12" s="21" t="str">
        <x:v>C009</x:v>
      </x:c>
      <x:c r="B12" s="21" t="str">
        <x:v>P3</x:v>
      </x:c>
      <x:c r="C12" s="21" t="str">
        <x:v>GA calibrado × LLM</x:v>
      </x:c>
      <x:c r="D12" s="21" t="str">
        <x:v>T-6676</x:v>
      </x:c>
      <x:c r="E12" s="21" t="str">
        <x:v>GA calibrado</x:v>
      </x:c>
      <x:c r="F12" s="19" t="str">
        <x:v>211, 282, 336, 370, 415</x:v>
      </x:c>
      <x:c r="G12" s="21" t="str">
        <x:v>T-5527</x:v>
      </x:c>
      <x:c r="H12" s="21" t="str">
        <x:v>LLM</x:v>
      </x:c>
      <x:c r="I12" s="19" t="str">
        <x:v>82, 241, 453, 473, 538</x:v>
      </x:c>
      <x:c r="J12" s="21" t="str">
        <x:v>B</x:v>
      </x:c>
      <x:c r="K12" s="21" t="str">
        <x:v>T-5527</x:v>
      </x:c>
      <x:c r="L12" s="21" t="str">
        <x:v>LLM</x:v>
      </x:c>
      <x:c r="M12" s="21" t="str">
        <x:v>Não</x:v>
      </x:c>
      <x:c r="N12" s="21" t="str">
        <x:v>Não</x:v>
      </x:c>
      <x:c r="O12" s="21" t="str"/>
      <x:c r="P12" s="21" t="str">
        <x:v>R05</x:v>
      </x:c>
      <x:c r="Q12" s="21" t="str">
        <x:v>Consistente</x:v>
      </x:c>
      <x:c r="R12" s="19" t="str">
        <x:v>A mesma dupla de composições foi avaliada mais de uma vez; a decisão normalizada pelo conjunto de integrantes foi mantida.</x:v>
      </x:c>
      <x:c r="S12" s="19" t="str"/>
      <x:c r="U12" s="26" t="str">
        <x:v>GA calibrado</x:v>
      </x:c>
      <x:c r="V12" s="26" t="n">
        <x:f>COUNTIF(L6:L57,U12)</x:f>
        <x:v>8</x:v>
      </x:c>
      <x:c r="W12" s="34" t="n">
        <x:f>V12/$V$2</x:f>
        <x:v>0.15384615384615385</x:v>
      </x:c>
    </x:row>
    <x:row r="13" ht="38" customHeight="1">
      <x:c r="A13" s="21" t="str">
        <x:v>C010</x:v>
      </x:c>
      <x:c r="B13" s="21" t="str">
        <x:v>P3</x:v>
      </x:c>
      <x:c r="C13" s="21" t="str">
        <x:v>GA calibrado × equipe histórica</x:v>
      </x:c>
      <x:c r="D13" s="21" t="str">
        <x:v>T-6676</x:v>
      </x:c>
      <x:c r="E13" s="21" t="str">
        <x:v>GA calibrado</x:v>
      </x:c>
      <x:c r="F13" s="19" t="str">
        <x:v>211, 282, 336, 370, 415</x:v>
      </x:c>
      <x:c r="G13" s="21" t="str">
        <x:v>T-4824</x:v>
      </x:c>
      <x:c r="H13" s="21" t="str">
        <x:v>Equipe histórica</x:v>
      </x:c>
      <x:c r="I13" s="19" t="str">
        <x:v>82, 241, 453, 473, 538</x:v>
      </x:c>
      <x:c r="J13" s="21" t="str">
        <x:v>B</x:v>
      </x:c>
      <x:c r="K13" s="21" t="str">
        <x:v>T-4824</x:v>
      </x:c>
      <x:c r="L13" s="21" t="str">
        <x:v>Equipe histórica</x:v>
      </x:c>
      <x:c r="M13" s="21" t="str">
        <x:v>Não</x:v>
      </x:c>
      <x:c r="N13" s="21" t="str">
        <x:v>Sim</x:v>
      </x:c>
      <x:c r="O13" s="21" t="str">
        <x:v>C022</x:v>
      </x:c>
      <x:c r="P13" s="21" t="str">
        <x:v>R05</x:v>
      </x:c>
      <x:c r="Q13" s="21" t="str">
        <x:v>Consistente</x:v>
      </x:c>
      <x:c r="R13" s="19" t="str">
        <x:v>A mesma dupla de composições foi avaliada mais de uma vez; a decisão normalizada pelo conjunto de integrantes foi mantida.</x:v>
      </x:c>
      <x:c r="S13" s="19" t="str"/>
      <x:c r="U13" s="26" t="str">
        <x:v>GA uniforme</x:v>
      </x:c>
      <x:c r="V13" s="26" t="n">
        <x:f>COUNTIF(L7:L58,U13)</x:f>
        <x:v>6</x:v>
      </x:c>
      <x:c r="W13" s="34" t="n">
        <x:f>V13/$V$2</x:f>
        <x:v>0.11538461538461539</x:v>
      </x:c>
    </x:row>
    <x:row r="14" ht="38" customHeight="1">
      <x:c r="A14" s="21" t="str">
        <x:v>C011</x:v>
      </x:c>
      <x:c r="B14" s="21" t="str">
        <x:v>P9</x:v>
      </x:c>
      <x:c r="C14" s="21" t="str">
        <x:v>GA calibrado × GA uniforme</x:v>
      </x:c>
      <x:c r="D14" s="21" t="str">
        <x:v>T-1384</x:v>
      </x:c>
      <x:c r="E14" s="21" t="str">
        <x:v>GA calibrado</x:v>
      </x:c>
      <x:c r="F14" s="19" t="str">
        <x:v>94, 290, 382, 484, 560, 647</x:v>
      </x:c>
      <x:c r="G14" s="21" t="str">
        <x:v>T-8573</x:v>
      </x:c>
      <x:c r="H14" s="21" t="str">
        <x:v>GA uniforme</x:v>
      </x:c>
      <x:c r="I14" s="19" t="str">
        <x:v>282, 335, 336, 398, 415, 467</x:v>
      </x:c>
      <x:c r="J14" s="21" t="str">
        <x:v>Equivalente</x:v>
      </x:c>
      <x:c r="K14" s="21" t="str"/>
      <x:c r="L14" s="21" t="str">
        <x:v>Equivalente</x:v>
      </x:c>
      <x:c r="M14" s="21" t="str">
        <x:v>Empate</x:v>
      </x:c>
      <x:c r="N14" s="21" t="str">
        <x:v>Sim</x:v>
      </x:c>
      <x:c r="O14" s="21" t="str">
        <x:v>C034</x:v>
      </x:c>
      <x:c r="P14" s="21" t="str">
        <x:v>R06</x:v>
      </x:c>
      <x:c r="Q14" s="21" t="str">
        <x:v>Inconsistente</x:v>
      </x:c>
      <x:c r="R14" s="19" t="str">
        <x:v>A mesma dupla de composições foi avaliada mais de uma vez, mas a composição escolhida mudou.</x:v>
      </x:c>
      <x:c r="S14" s="19" t="str"/>
      <x:c r="U14" s="26" t="str">
        <x:v>Equivalente</x:v>
      </x:c>
      <x:c r="V14" s="26" t="n">
        <x:f>COUNTIF(L8:L59,U14)</x:f>
        <x:v>9</x:v>
      </x:c>
      <x:c r="W14" s="34" t="n">
        <x:f>V14/$V$2</x:f>
        <x:v>0.17307692307692307</x:v>
      </x:c>
    </x:row>
    <x:row r="15" ht="38" customHeight="1">
      <x:c r="A15" s="21" t="str">
        <x:v>C012</x:v>
      </x:c>
      <x:c r="B15" s="21" t="str">
        <x:v>P2</x:v>
      </x:c>
      <x:c r="C15" s="21" t="str">
        <x:v>GA calibrado × GA uniforme</x:v>
      </x:c>
      <x:c r="D15" s="21" t="str">
        <x:v>T-9068</x:v>
      </x:c>
      <x:c r="E15" s="21" t="str">
        <x:v>GA uniforme</x:v>
      </x:c>
      <x:c r="F15" s="19" t="str">
        <x:v>94, 183, 290, 382, 402, 484, 500, 560</x:v>
      </x:c>
      <x:c r="G15" s="21" t="str">
        <x:v>T-4526</x:v>
      </x:c>
      <x:c r="H15" s="21" t="str">
        <x:v>GA calibrado</x:v>
      </x:c>
      <x:c r="I15" s="19" t="str">
        <x:v>7, 33, 94, 290, 397, 447, 484, 560</x:v>
      </x:c>
      <x:c r="J15" s="21" t="str">
        <x:v>A</x:v>
      </x:c>
      <x:c r="K15" s="21" t="str">
        <x:v>T-9068</x:v>
      </x:c>
      <x:c r="L15" s="21" t="str">
        <x:v>GA uniforme</x:v>
      </x:c>
      <x:c r="M15" s="21" t="str">
        <x:v>Não</x:v>
      </x:c>
      <x:c r="N15" s="21" t="str">
        <x:v>Não</x:v>
      </x:c>
      <x:c r="O15" s="21" t="str"/>
      <x:c r="P15" s="21" t="str"/>
      <x:c r="Q15" s="21" t="str">
        <x:v>Não se aplica</x:v>
      </x:c>
      <x:c r="R15" s="19" t="str">
        <x:v>Comparação única para esta dupla de composições.</x:v>
      </x:c>
      <x:c r="S15" s="19" t="str"/>
      <x:c r="U15" s="26" t="str">
        <x:v>Sem resposta</x:v>
      </x:c>
      <x:c r="V15" s="26" t="n">
        <x:f>COUNTIF(L9:L60,U15)</x:f>
        <x:v>0</x:v>
      </x:c>
      <x:c r="W15" s="34" t="n">
        <x:f>V15/$V$2</x:f>
        <x:v>0</x:v>
      </x:c>
    </x:row>
    <x:row r="16" ht="38" customHeight="1">
      <x:c r="A16" s="21" t="str">
        <x:v>C013</x:v>
      </x:c>
      <x:c r="B16" s="21" t="str">
        <x:v>P16</x:v>
      </x:c>
      <x:c r="C16" s="21" t="str">
        <x:v>GA calibrado × GA uniforme</x:v>
      </x:c>
      <x:c r="D16" s="21" t="str">
        <x:v>T-9373</x:v>
      </x:c>
      <x:c r="E16" s="21" t="str">
        <x:v>GA calibrado</x:v>
      </x:c>
      <x:c r="F16" s="19" t="str">
        <x:v>81, 282, 316, 317, 336, 370, 398, 415, 467</x:v>
      </x:c>
      <x:c r="G16" s="21" t="str">
        <x:v>T-9137</x:v>
      </x:c>
      <x:c r="H16" s="21" t="str">
        <x:v>GA uniforme</x:v>
      </x:c>
      <x:c r="I16" s="19" t="str">
        <x:v>65, 94, 181, 183, 290, 363, 382, 500, 560</x:v>
      </x:c>
      <x:c r="J16" s="21" t="str">
        <x:v>A</x:v>
      </x:c>
      <x:c r="K16" s="21" t="str">
        <x:v>T-9373</x:v>
      </x:c>
      <x:c r="L16" s="21" t="str">
        <x:v>GA calibrado</x:v>
      </x:c>
      <x:c r="M16" s="21" t="str">
        <x:v>Sim</x:v>
      </x:c>
      <x:c r="N16" s="21" t="str">
        <x:v>Não</x:v>
      </x:c>
      <x:c r="O16" s="21" t="str"/>
      <x:c r="P16" s="21" t="str"/>
      <x:c r="Q16" s="21" t="str">
        <x:v>Não se aplica</x:v>
      </x:c>
      <x:c r="R16" s="19" t="str">
        <x:v>Comparação única para esta dupla de composições.</x:v>
      </x:c>
      <x:c r="S16" s="19" t="str"/>
    </x:row>
    <x:row r="17" ht="38" customHeight="1">
      <x:c r="A17" s="21" t="str">
        <x:v>C014</x:v>
      </x:c>
      <x:c r="B17" s="21" t="str">
        <x:v>P13</x:v>
      </x:c>
      <x:c r="C17" s="21" t="str">
        <x:v>GA calibrado × GA uniforme</x:v>
      </x:c>
      <x:c r="D17" s="21" t="str">
        <x:v>T-2072</x:v>
      </x:c>
      <x:c r="E17" s="21" t="str">
        <x:v>GA uniforme</x:v>
      </x:c>
      <x:c r="F17" s="19" t="str">
        <x:v>316, 571, 589, 700</x:v>
      </x:c>
      <x:c r="G17" s="21" t="str">
        <x:v>T-1559</x:v>
      </x:c>
      <x:c r="H17" s="21" t="str">
        <x:v>GA calibrado</x:v>
      </x:c>
      <x:c r="I17" s="19" t="str">
        <x:v>498, 583, 589, 720</x:v>
      </x:c>
      <x:c r="J17" s="21" t="str">
        <x:v>B</x:v>
      </x:c>
      <x:c r="K17" s="21" t="str">
        <x:v>T-1559</x:v>
      </x:c>
      <x:c r="L17" s="21" t="str">
        <x:v>GA calibrado</x:v>
      </x:c>
      <x:c r="M17" s="21" t="str">
        <x:v>Sim</x:v>
      </x:c>
      <x:c r="N17" s="21" t="str">
        <x:v>Não</x:v>
      </x:c>
      <x:c r="O17" s="21" t="str"/>
      <x:c r="P17" s="21" t="str"/>
      <x:c r="Q17" s="21" t="str">
        <x:v>Não se aplica</x:v>
      </x:c>
      <x:c r="R17" s="19" t="str">
        <x:v>Comparação única para esta dupla de composições.</x:v>
      </x:c>
      <x:c r="S17" s="19" t="str"/>
      <x:c r="U17" s="43" t="str">
        <x:v>Atenção: essas frequências são contagens por linha. Há repetições planejadas e oito casos em que condições diferentes geraram a mesma composição; portanto, as 52 linhas não são 52 decisões independentes.</x:v>
      </x:c>
      <x:c r="V17" s="44" t="str">
        <x:v>Atenção: essas frequências são contagens por linha. Há repetições planejadas e oito casos em que condições diferentes geraram a mesma composição; portanto, as 52 linhas não são 52 decisões independentes.</x:v>
      </x:c>
      <x:c r="W17" s="45" t="str">
        <x:v>Atenção: essas frequências são contagens por linha. Há repetições planejadas e oito casos em que condições diferentes geraram a mesma composição; portanto, as 52 linhas não são 52 decisões independentes.</x:v>
      </x:c>
    </x:row>
    <x:row r="18" ht="38" customHeight="1">
      <x:c r="A18" s="21" t="str">
        <x:v>C015</x:v>
      </x:c>
      <x:c r="B18" s="21" t="str">
        <x:v>P15</x:v>
      </x:c>
      <x:c r="C18" s="21" t="str">
        <x:v>GA calibrado × equipe histórica</x:v>
      </x:c>
      <x:c r="D18" s="21" t="str">
        <x:v>T-9656</x:v>
      </x:c>
      <x:c r="E18" s="21" t="str">
        <x:v>GA calibrado</x:v>
      </x:c>
      <x:c r="F18" s="19" t="str">
        <x:v>467, 498, 563, 570, 583</x:v>
      </x:c>
      <x:c r="G18" s="21" t="str">
        <x:v>T-7475</x:v>
      </x:c>
      <x:c r="H18" s="21" t="str">
        <x:v>Equipe histórica</x:v>
      </x:c>
      <x:c r="I18" s="19" t="str">
        <x:v>247, 398, 582, 608, 705</x:v>
      </x:c>
      <x:c r="J18" s="21" t="str">
        <x:v>A</x:v>
      </x:c>
      <x:c r="K18" s="21" t="str">
        <x:v>T-9656</x:v>
      </x:c>
      <x:c r="L18" s="21" t="str">
        <x:v>GA calibrado</x:v>
      </x:c>
      <x:c r="M18" s="21" t="str">
        <x:v>Sim</x:v>
      </x:c>
      <x:c r="N18" s="21" t="str">
        <x:v>Não</x:v>
      </x:c>
      <x:c r="O18" s="21" t="str"/>
      <x:c r="P18" s="21" t="str"/>
      <x:c r="Q18" s="21" t="str">
        <x:v>Não se aplica</x:v>
      </x:c>
      <x:c r="R18" s="19" t="str">
        <x:v>Comparação única para esta dupla de composições.</x:v>
      </x:c>
      <x:c r="S18" s="19" t="str"/>
      <x:c r="U18" s="46" t="str">
        <x:v>Atenção: essas frequências são contagens por linha. Há repetições planejadas e oito casos em que condições diferentes geraram a mesma composição; portanto, as 52 linhas não são 52 decisões independentes.</x:v>
      </x:c>
      <x:c r="V18" s="47" t="str">
        <x:v>Atenção: essas frequências são contagens por linha. Há repetições planejadas e oito casos em que condições diferentes geraram a mesma composição; portanto, as 52 linhas não são 52 decisões independentes.</x:v>
      </x:c>
      <x:c r="W18" s="48" t="str">
        <x:v>Atenção: essas frequências são contagens por linha. Há repetições planejadas e oito casos em que condições diferentes geraram a mesma composição; portanto, as 52 linhas não são 52 decisões independentes.</x:v>
      </x:c>
    </x:row>
    <x:row r="19" ht="38" customHeight="1">
      <x:c r="A19" s="21" t="str">
        <x:v>C016</x:v>
      </x:c>
      <x:c r="B19" s="21" t="str">
        <x:v>P15</x:v>
      </x:c>
      <x:c r="C19" s="21" t="str">
        <x:v>GA calibrado × LLM</x:v>
      </x:c>
      <x:c r="D19" s="21" t="str">
        <x:v>T-1406</x:v>
      </x:c>
      <x:c r="E19" s="21" t="str">
        <x:v>LLM</x:v>
      </x:c>
      <x:c r="F19" s="19" t="str">
        <x:v>183, 247, 398, 582, 608</x:v>
      </x:c>
      <x:c r="G19" s="21" t="str">
        <x:v>T-9656</x:v>
      </x:c>
      <x:c r="H19" s="21" t="str">
        <x:v>GA calibrado</x:v>
      </x:c>
      <x:c r="I19" s="19" t="str">
        <x:v>467, 498, 563, 570, 583</x:v>
      </x:c>
      <x:c r="J19" s="21" t="str">
        <x:v>B</x:v>
      </x:c>
      <x:c r="K19" s="21" t="str">
        <x:v>T-9656</x:v>
      </x:c>
      <x:c r="L19" s="21" t="str">
        <x:v>GA calibrado</x:v>
      </x:c>
      <x:c r="M19" s="21" t="str">
        <x:v>Sim</x:v>
      </x:c>
      <x:c r="N19" s="21" t="str">
        <x:v>Não</x:v>
      </x:c>
      <x:c r="O19" s="21" t="str"/>
      <x:c r="P19" s="21" t="str"/>
      <x:c r="Q19" s="21" t="str">
        <x:v>Não se aplica</x:v>
      </x:c>
      <x:c r="R19" s="19" t="str">
        <x:v>Comparação única para esta dupla de composições.</x:v>
      </x:c>
      <x:c r="S19" s="19" t="str"/>
    </x:row>
    <x:row r="20" ht="38" customHeight="1">
      <x:c r="A20" s="21" t="str">
        <x:v>C017</x:v>
      </x:c>
      <x:c r="B20" s="21" t="str">
        <x:v>P1</x:v>
      </x:c>
      <x:c r="C20" s="21" t="str">
        <x:v>GA calibrado × equipe histórica</x:v>
      </x:c>
      <x:c r="D20" s="21" t="str">
        <x:v>T-6473</x:v>
      </x:c>
      <x:c r="E20" s="21" t="str">
        <x:v>GA calibrado</x:v>
      </x:c>
      <x:c r="F20" s="19" t="str">
        <x:v>170, 220, 305, 324, 359, 448, 503, 543, 578</x:v>
      </x:c>
      <x:c r="G20" s="21" t="str">
        <x:v>T-2735</x:v>
      </x:c>
      <x:c r="H20" s="21" t="str">
        <x:v>Equipe histórica</x:v>
      </x:c>
      <x:c r="I20" s="19" t="str">
        <x:v>18, 27, 63, 178, 435, 447, 482, 636, 655</x:v>
      </x:c>
      <x:c r="J20" s="21" t="str">
        <x:v>Equivalente</x:v>
      </x:c>
      <x:c r="K20" s="21" t="str"/>
      <x:c r="L20" s="21" t="str">
        <x:v>Equivalente</x:v>
      </x:c>
      <x:c r="M20" s="21" t="str">
        <x:v>Empate</x:v>
      </x:c>
      <x:c r="N20" s="21" t="str">
        <x:v>Não</x:v>
      </x:c>
      <x:c r="O20" s="21" t="str"/>
      <x:c r="P20" s="21" t="str"/>
      <x:c r="Q20" s="21" t="str">
        <x:v>Não se aplica</x:v>
      </x:c>
      <x:c r="R20" s="19" t="str">
        <x:v>Comparação única para esta dupla de composições.</x:v>
      </x:c>
      <x:c r="S20" s="19" t="str"/>
      <x:c r="U20" s="24" t="str">
        <x:v>Grupos de composições repetidas</x:v>
      </x:c>
      <x:c r="V20" s="24" t="str">
        <x:v>Grupos de composições repetidas</x:v>
      </x:c>
      <x:c r="W20" s="24" t="str">
        <x:v>Grupos de composições repetidas</x:v>
      </x:c>
      <x:c r="X20" s="24" t="str">
        <x:v>Grupos de composições repetidas</x:v>
      </x:c>
      <x:c r="Y20" s="24" t="str">
        <x:v>Grupos de composições repetidas</x:v>
      </x:c>
      <x:c r="Z20" s="24" t="str">
        <x:v>Grupos de composições repetidas</x:v>
      </x:c>
    </x:row>
    <x:row r="21" ht="38" customHeight="1">
      <x:c r="A21" s="21" t="str">
        <x:v>C018</x:v>
      </x:c>
      <x:c r="B21" s="21" t="str">
        <x:v>P2</x:v>
      </x:c>
      <x:c r="C21" s="21" t="str">
        <x:v>GA calibrado × equipe histórica</x:v>
      </x:c>
      <x:c r="D21" s="21" t="str">
        <x:v>T-9319</x:v>
      </x:c>
      <x:c r="E21" s="21" t="str">
        <x:v>Equipe histórica</x:v>
      </x:c>
      <x:c r="F21" s="19" t="str">
        <x:v>169, 177, 222, 457, 479, 545, 550, 676</x:v>
      </x:c>
      <x:c r="G21" s="21" t="str">
        <x:v>T-4526</x:v>
      </x:c>
      <x:c r="H21" s="21" t="str">
        <x:v>GA calibrado</x:v>
      </x:c>
      <x:c r="I21" s="19" t="str">
        <x:v>7, 33, 94, 290, 397, 447, 484, 560</x:v>
      </x:c>
      <x:c r="J21" s="21" t="str">
        <x:v>B</x:v>
      </x:c>
      <x:c r="K21" s="21" t="str">
        <x:v>T-4526</x:v>
      </x:c>
      <x:c r="L21" s="21" t="str">
        <x:v>GA calibrado</x:v>
      </x:c>
      <x:c r="M21" s="21" t="str">
        <x:v>Sim</x:v>
      </x:c>
      <x:c r="N21" s="21" t="str">
        <x:v>Não</x:v>
      </x:c>
      <x:c r="O21" s="21" t="str"/>
      <x:c r="P21" s="21" t="str">
        <x:v>R07</x:v>
      </x:c>
      <x:c r="Q21" s="21" t="str">
        <x:v>Inconsistente</x:v>
      </x:c>
      <x:c r="R21" s="19" t="str">
        <x:v>A mesma dupla de composições foi avaliada mais de uma vez, mas a composição escolhida mudou.</x:v>
      </x:c>
      <x:c r="S21" s="19" t="str"/>
      <x:c r="U21" s="12" t="str">
        <x:v>Grupo</x:v>
      </x:c>
      <x:c r="V21" s="12" t="str">
        <x:v>Projeto</x:v>
      </x:c>
      <x:c r="W21" s="12" t="str">
        <x:v>Comparações</x:v>
      </x:c>
      <x:c r="X21" s="12" t="str">
        <x:v>Status</x:v>
      </x:c>
      <x:c r="Y21" s="12" t="str">
        <x:v>Escolhas observadas</x:v>
      </x:c>
      <x:c r="Z21" s="12" t="str">
        <x:v>Interpretação</x:v>
      </x:c>
    </x:row>
    <x:row r="22" ht="48" customHeight="1">
      <x:c r="A22" s="21" t="str">
        <x:v>C019</x:v>
      </x:c>
      <x:c r="B22" s="21" t="str">
        <x:v>P1</x:v>
      </x:c>
      <x:c r="C22" s="21" t="str">
        <x:v>GA calibrado × LLM</x:v>
      </x:c>
      <x:c r="D22" s="21" t="str">
        <x:v>T-8343</x:v>
      </x:c>
      <x:c r="E22" s="21" t="str">
        <x:v>LLM</x:v>
      </x:c>
      <x:c r="F22" s="19" t="str">
        <x:v>27, 63, 178, 435, 447, 482, 495, 636, 655</x:v>
      </x:c>
      <x:c r="G22" s="21" t="str">
        <x:v>T-6473</x:v>
      </x:c>
      <x:c r="H22" s="21" t="str">
        <x:v>GA calibrado</x:v>
      </x:c>
      <x:c r="I22" s="19" t="str">
        <x:v>170, 220, 305, 324, 359, 448, 503, 543, 578</x:v>
      </x:c>
      <x:c r="J22" s="21" t="str">
        <x:v>A</x:v>
      </x:c>
      <x:c r="K22" s="21" t="str">
        <x:v>T-8343</x:v>
      </x:c>
      <x:c r="L22" s="21" t="str">
        <x:v>LLM</x:v>
      </x:c>
      <x:c r="M22" s="21" t="str">
        <x:v>Não</x:v>
      </x:c>
      <x:c r="N22" s="21" t="str">
        <x:v>Sim</x:v>
      </x:c>
      <x:c r="O22" s="21" t="str">
        <x:v>C025</x:v>
      </x:c>
      <x:c r="P22" s="21" t="str">
        <x:v>R08</x:v>
      </x:c>
      <x:c r="Q22" s="21" t="str">
        <x:v>Consistente</x:v>
      </x:c>
      <x:c r="R22" s="19" t="str">
        <x:v>A mesma dupla de composições foi avaliada mais de uma vez; a decisão normalizada pelo conjunto de integrantes foi mantida.</x:v>
      </x:c>
      <x:c r="S22" s="19" t="str"/>
      <x:c r="U22" s="51" t="str">
        <x:v>R01</x:v>
      </x:c>
      <x:c r="V22" s="51" t="str">
        <x:v>P10</x:v>
      </x:c>
      <x:c r="W22" s="51" t="str">
        <x:v>C001, C029, C050</x:v>
      </x:c>
      <x:c r="X22" s="51" t="str">
        <x:v>Consistente</x:v>
      </x:c>
      <x:c r="Y22" s="51" t="str">
        <x:v>C001: Equipe histórica (T-9473); C029: LLM (T-9672); C050: Equipe histórica (T-9473)</x:v>
      </x:c>
      <x:c r="Z22" s="51" t="str">
        <x:v>A mesma dupla de composições foi avaliada mais de uma vez; a decisão normalizada pelo conjunto de integrantes foi mantida.</x:v>
      </x:c>
    </x:row>
    <x:row r="23" ht="48" customHeight="1">
      <x:c r="A23" s="21" t="str">
        <x:v>C020</x:v>
      </x:c>
      <x:c r="B23" s="21" t="str">
        <x:v>P8</x:v>
      </x:c>
      <x:c r="C23" s="21" t="str">
        <x:v>GA calibrado × LLM</x:v>
      </x:c>
      <x:c r="D23" s="21" t="str">
        <x:v>T-1457</x:v>
      </x:c>
      <x:c r="E23" s="21" t="str">
        <x:v>GA calibrado</x:v>
      </x:c>
      <x:c r="F23" s="19" t="str">
        <x:v>81, 336, 370, 398, 415</x:v>
      </x:c>
      <x:c r="G23" s="21" t="str">
        <x:v>T-4070</x:v>
      </x:c>
      <x:c r="H23" s="21" t="str">
        <x:v>LLM</x:v>
      </x:c>
      <x:c r="I23" s="19" t="str">
        <x:v>8, 145, 520, 656, 688</x:v>
      </x:c>
      <x:c r="J23" s="21" t="str">
        <x:v>B</x:v>
      </x:c>
      <x:c r="K23" s="21" t="str">
        <x:v>T-4070</x:v>
      </x:c>
      <x:c r="L23" s="21" t="str">
        <x:v>LLM</x:v>
      </x:c>
      <x:c r="M23" s="21" t="str">
        <x:v>Não</x:v>
      </x:c>
      <x:c r="N23" s="21" t="str">
        <x:v>Não</x:v>
      </x:c>
      <x:c r="O23" s="21" t="str"/>
      <x:c r="P23" s="21" t="str"/>
      <x:c r="Q23" s="21" t="str">
        <x:v>Não se aplica</x:v>
      </x:c>
      <x:c r="R23" s="19" t="str">
        <x:v>Comparação única para esta dupla de composições.</x:v>
      </x:c>
      <x:c r="S23" s="19" t="str"/>
      <x:c r="U23" s="51" t="str">
        <x:v>R02</x:v>
      </x:c>
      <x:c r="V23" s="51" t="str">
        <x:v>P5</x:v>
      </x:c>
      <x:c r="W23" s="51" t="str">
        <x:v>C002, C043</x:v>
      </x:c>
      <x:c r="X23" s="51" t="str">
        <x:v>Consistente</x:v>
      </x:c>
      <x:c r="Y23" s="51" t="str">
        <x:v>C002: LLM (T-3745); C043: Equipe histórica (T-2639)</x:v>
      </x:c>
      <x:c r="Z23" s="51" t="str">
        <x:v>A mesma dupla de composições foi avaliada mais de uma vez; a decisão normalizada pelo conjunto de integrantes foi mantida.</x:v>
      </x:c>
    </x:row>
    <x:row r="24" ht="48" customHeight="1">
      <x:c r="A24" s="21" t="str">
        <x:v>C021</x:v>
      </x:c>
      <x:c r="B24" s="21" t="str">
        <x:v>P13</x:v>
      </x:c>
      <x:c r="C24" s="21" t="str">
        <x:v>GA calibrado × LLM</x:v>
      </x:c>
      <x:c r="D24" s="21" t="str">
        <x:v>T-6948</x:v>
      </x:c>
      <x:c r="E24" s="21" t="str">
        <x:v>LLM</x:v>
      </x:c>
      <x:c r="F24" s="19" t="str">
        <x:v>583, 589, 700, 720</x:v>
      </x:c>
      <x:c r="G24" s="21" t="str">
        <x:v>T-1559</x:v>
      </x:c>
      <x:c r="H24" s="21" t="str">
        <x:v>GA calibrado</x:v>
      </x:c>
      <x:c r="I24" s="19" t="str">
        <x:v>498, 583, 589, 720</x:v>
      </x:c>
      <x:c r="J24" s="21" t="str">
        <x:v>Equivalente</x:v>
      </x:c>
      <x:c r="K24" s="21" t="str"/>
      <x:c r="L24" s="21" t="str">
        <x:v>Equivalente</x:v>
      </x:c>
      <x:c r="M24" s="21" t="str">
        <x:v>Empate</x:v>
      </x:c>
      <x:c r="N24" s="21" t="str">
        <x:v>Não</x:v>
      </x:c>
      <x:c r="O24" s="21" t="str"/>
      <x:c r="P24" s="21" t="str"/>
      <x:c r="Q24" s="21" t="str">
        <x:v>Não se aplica</x:v>
      </x:c>
      <x:c r="R24" s="19" t="str">
        <x:v>Comparação única para esta dupla de composições.</x:v>
      </x:c>
      <x:c r="S24" s="19" t="str"/>
      <x:c r="U24" s="51" t="str">
        <x:v>R03</x:v>
      </x:c>
      <x:c r="V24" s="51" t="str">
        <x:v>P16</x:v>
      </x:c>
      <x:c r="W24" s="51" t="str">
        <x:v>C003, C046</x:v>
      </x:c>
      <x:c r="X24" s="51" t="str">
        <x:v>Inconsistente</x:v>
      </x:c>
      <x:c r="Y24" s="51" t="str">
        <x:v>C003: GA calibrado (T-9373); C046: LLM (T-6812)</x:v>
      </x:c>
      <x:c r="Z24" s="51" t="str">
        <x:v>A mesma dupla de composições foi avaliada mais de uma vez, mas a composição escolhida mudou.</x:v>
      </x:c>
    </x:row>
    <x:row r="25" ht="48" customHeight="1">
      <x:c r="A25" s="21" t="str">
        <x:v>C022</x:v>
      </x:c>
      <x:c r="B25" s="21" t="str">
        <x:v>P3</x:v>
      </x:c>
      <x:c r="C25" s="21" t="str">
        <x:v>GA calibrado × equipe histórica</x:v>
      </x:c>
      <x:c r="D25" s="21" t="str">
        <x:v>T-4824</x:v>
      </x:c>
      <x:c r="E25" s="21" t="str">
        <x:v>Equipe histórica</x:v>
      </x:c>
      <x:c r="F25" s="19" t="str">
        <x:v>82, 241, 453, 473, 538</x:v>
      </x:c>
      <x:c r="G25" s="21" t="str">
        <x:v>T-6676</x:v>
      </x:c>
      <x:c r="H25" s="21" t="str">
        <x:v>GA calibrado</x:v>
      </x:c>
      <x:c r="I25" s="19" t="str">
        <x:v>211, 282, 336, 370, 415</x:v>
      </x:c>
      <x:c r="J25" s="21" t="str">
        <x:v>A</x:v>
      </x:c>
      <x:c r="K25" s="21" t="str">
        <x:v>T-4824</x:v>
      </x:c>
      <x:c r="L25" s="21" t="str">
        <x:v>Equipe histórica</x:v>
      </x:c>
      <x:c r="M25" s="21" t="str">
        <x:v>Não</x:v>
      </x:c>
      <x:c r="N25" s="21" t="str">
        <x:v>Não</x:v>
      </x:c>
      <x:c r="O25" s="21" t="str"/>
      <x:c r="P25" s="21" t="str">
        <x:v>R05</x:v>
      </x:c>
      <x:c r="Q25" s="21" t="str">
        <x:v>Consistente</x:v>
      </x:c>
      <x:c r="R25" s="19" t="str">
        <x:v>A mesma dupla de composições foi avaliada mais de uma vez; a decisão normalizada pelo conjunto de integrantes foi mantida.</x:v>
      </x:c>
      <x:c r="S25" s="19" t="str"/>
      <x:c r="U25" s="51" t="str">
        <x:v>R04</x:v>
      </x:c>
      <x:c r="V25" s="51" t="str">
        <x:v>P4</x:v>
      </x:c>
      <x:c r="W25" s="51" t="str">
        <x:v>C004, C006</x:v>
      </x:c>
      <x:c r="X25" s="51" t="str">
        <x:v>Consistente</x:v>
      </x:c>
      <x:c r="Y25" s="51" t="str">
        <x:v>C004: Equipe histórica (T-1128); C006: Equipe histórica (T-1128)</x:v>
      </x:c>
      <x:c r="Z25" s="51" t="str">
        <x:v>A mesma dupla de composições foi avaliada mais de uma vez; a decisão normalizada pelo conjunto de integrantes foi mantida.</x:v>
      </x:c>
    </x:row>
    <x:row r="26" ht="48" customHeight="1">
      <x:c r="A26" s="21" t="str">
        <x:v>C023</x:v>
      </x:c>
      <x:c r="B26" s="21" t="str">
        <x:v>P12</x:v>
      </x:c>
      <x:c r="C26" s="21" t="str">
        <x:v>GA calibrado × GA uniforme</x:v>
      </x:c>
      <x:c r="D26" s="21" t="str">
        <x:v>T-7216</x:v>
      </x:c>
      <x:c r="E26" s="21" t="str">
        <x:v>GA uniforme</x:v>
      </x:c>
      <x:c r="F26" s="19" t="str">
        <x:v>317, 398, 467, 498</x:v>
      </x:c>
      <x:c r="G26" s="21" t="str">
        <x:v>T-8599</x:v>
      </x:c>
      <x:c r="H26" s="21" t="str">
        <x:v>GA calibrado</x:v>
      </x:c>
      <x:c r="I26" s="19" t="str">
        <x:v>398, 415, 458, 467</x:v>
      </x:c>
      <x:c r="J26" s="21" t="str">
        <x:v>A</x:v>
      </x:c>
      <x:c r="K26" s="21" t="str">
        <x:v>T-7216</x:v>
      </x:c>
      <x:c r="L26" s="21" t="str">
        <x:v>GA uniforme</x:v>
      </x:c>
      <x:c r="M26" s="21" t="str">
        <x:v>Não</x:v>
      </x:c>
      <x:c r="N26" s="21" t="str">
        <x:v>Não</x:v>
      </x:c>
      <x:c r="O26" s="21" t="str"/>
      <x:c r="P26" s="21" t="str"/>
      <x:c r="Q26" s="21" t="str">
        <x:v>Não se aplica</x:v>
      </x:c>
      <x:c r="R26" s="19" t="str">
        <x:v>Comparação única para esta dupla de composições.</x:v>
      </x:c>
      <x:c r="S26" s="19" t="str"/>
      <x:c r="U26" s="51" t="str">
        <x:v>R05</x:v>
      </x:c>
      <x:c r="V26" s="51" t="str">
        <x:v>P3</x:v>
      </x:c>
      <x:c r="W26" s="51" t="str">
        <x:v>C009, C010, C022</x:v>
      </x:c>
      <x:c r="X26" s="51" t="str">
        <x:v>Consistente</x:v>
      </x:c>
      <x:c r="Y26" s="51" t="str">
        <x:v>C009: LLM (T-5527); C010: Equipe histórica (T-4824); C022: Equipe histórica (T-4824)</x:v>
      </x:c>
      <x:c r="Z26" s="51" t="str">
        <x:v>A mesma dupla de composições foi avaliada mais de uma vez; a decisão normalizada pelo conjunto de integrantes foi mantida.</x:v>
      </x:c>
    </x:row>
    <x:row r="27" ht="48" customHeight="1">
      <x:c r="A27" s="21" t="str">
        <x:v>C024</x:v>
      </x:c>
      <x:c r="B27" s="21" t="str">
        <x:v>P6</x:v>
      </x:c>
      <x:c r="C27" s="21" t="str">
        <x:v>GA calibrado × LLM</x:v>
      </x:c>
      <x:c r="D27" s="21" t="str">
        <x:v>T-4484</x:v>
      </x:c>
      <x:c r="E27" s="21" t="str">
        <x:v>LLM</x:v>
      </x:c>
      <x:c r="F27" s="19" t="str">
        <x:v>114, 311, 453, 483, 490, 494, 637</x:v>
      </x:c>
      <x:c r="G27" s="21" t="str">
        <x:v>T-4412</x:v>
      </x:c>
      <x:c r="H27" s="21" t="str">
        <x:v>GA calibrado</x:v>
      </x:c>
      <x:c r="I27" s="19" t="str">
        <x:v>94, 183, 290, 363, 382, 402, 484</x:v>
      </x:c>
      <x:c r="J27" s="21" t="str">
        <x:v>A</x:v>
      </x:c>
      <x:c r="K27" s="21" t="str">
        <x:v>T-4484</x:v>
      </x:c>
      <x:c r="L27" s="21" t="str">
        <x:v>LLM</x:v>
      </x:c>
      <x:c r="M27" s="21" t="str">
        <x:v>Não</x:v>
      </x:c>
      <x:c r="N27" s="21" t="str">
        <x:v>Não</x:v>
      </x:c>
      <x:c r="O27" s="21" t="str"/>
      <x:c r="P27" s="21" t="str">
        <x:v>R09</x:v>
      </x:c>
      <x:c r="Q27" s="21" t="str">
        <x:v>Consistente</x:v>
      </x:c>
      <x:c r="R27" s="19" t="str">
        <x:v>A mesma dupla de composições foi avaliada mais de uma vez; a decisão normalizada pelo conjunto de integrantes foi mantida.</x:v>
      </x:c>
      <x:c r="S27" s="19" t="str"/>
      <x:c r="U27" s="51" t="str">
        <x:v>R06</x:v>
      </x:c>
      <x:c r="V27" s="51" t="str">
        <x:v>P9</x:v>
      </x:c>
      <x:c r="W27" s="51" t="str">
        <x:v>C011, C034</x:v>
      </x:c>
      <x:c r="X27" s="51" t="str">
        <x:v>Inconsistente</x:v>
      </x:c>
      <x:c r="Y27" s="51" t="str">
        <x:v>C011: Equivalente (Equivalente); C034: GA uniforme (T-8573)</x:v>
      </x:c>
      <x:c r="Z27" s="51" t="str">
        <x:v>A mesma dupla de composições foi avaliada mais de uma vez, mas a composição escolhida mudou.</x:v>
      </x:c>
    </x:row>
    <x:row r="28" ht="48" customHeight="1">
      <x:c r="A28" s="21" t="str">
        <x:v>C025</x:v>
      </x:c>
      <x:c r="B28" s="21" t="str">
        <x:v>P1</x:v>
      </x:c>
      <x:c r="C28" s="21" t="str">
        <x:v>GA calibrado × LLM</x:v>
      </x:c>
      <x:c r="D28" s="21" t="str">
        <x:v>T-6473</x:v>
      </x:c>
      <x:c r="E28" s="21" t="str">
        <x:v>GA calibrado</x:v>
      </x:c>
      <x:c r="F28" s="19" t="str">
        <x:v>170, 220, 305, 324, 359, 448, 503, 543, 578</x:v>
      </x:c>
      <x:c r="G28" s="21" t="str">
        <x:v>T-8343</x:v>
      </x:c>
      <x:c r="H28" s="21" t="str">
        <x:v>LLM</x:v>
      </x:c>
      <x:c r="I28" s="19" t="str">
        <x:v>27, 63, 178, 435, 447, 482, 495, 636, 655</x:v>
      </x:c>
      <x:c r="J28" s="21" t="str">
        <x:v>B</x:v>
      </x:c>
      <x:c r="K28" s="21" t="str">
        <x:v>T-8343</x:v>
      </x:c>
      <x:c r="L28" s="21" t="str">
        <x:v>LLM</x:v>
      </x:c>
      <x:c r="M28" s="21" t="str">
        <x:v>Não</x:v>
      </x:c>
      <x:c r="N28" s="21" t="str">
        <x:v>Não</x:v>
      </x:c>
      <x:c r="O28" s="21" t="str"/>
      <x:c r="P28" s="21" t="str">
        <x:v>R08</x:v>
      </x:c>
      <x:c r="Q28" s="21" t="str">
        <x:v>Consistente</x:v>
      </x:c>
      <x:c r="R28" s="19" t="str">
        <x:v>A mesma dupla de composições foi avaliada mais de uma vez; a decisão normalizada pelo conjunto de integrantes foi mantida.</x:v>
      </x:c>
      <x:c r="S28" s="19" t="str"/>
      <x:c r="U28" s="51" t="str">
        <x:v>R07</x:v>
      </x:c>
      <x:c r="V28" s="51" t="str">
        <x:v>P2</x:v>
      </x:c>
      <x:c r="W28" s="51" t="str">
        <x:v>C018, C040</x:v>
      </x:c>
      <x:c r="X28" s="51" t="str">
        <x:v>Inconsistente</x:v>
      </x:c>
      <x:c r="Y28" s="51" t="str">
        <x:v>C018: GA calibrado (T-4526); C040: LLM (T-5996)</x:v>
      </x:c>
      <x:c r="Z28" s="51" t="str">
        <x:v>A mesma dupla de composições foi avaliada mais de uma vez, mas a composição escolhida mudou.</x:v>
      </x:c>
    </x:row>
    <x:row r="29" ht="48" customHeight="1">
      <x:c r="A29" s="21" t="str">
        <x:v>C026</x:v>
      </x:c>
      <x:c r="B29" s="21" t="str">
        <x:v>P3</x:v>
      </x:c>
      <x:c r="C29" s="21" t="str">
        <x:v>GA calibrado × GA uniforme</x:v>
      </x:c>
      <x:c r="D29" s="21" t="str">
        <x:v>T-5095</x:v>
      </x:c>
      <x:c r="E29" s="21" t="str">
        <x:v>GA uniforme</x:v>
      </x:c>
      <x:c r="F29" s="19" t="str">
        <x:v>81, 282, 336, 370, 415</x:v>
      </x:c>
      <x:c r="G29" s="21" t="str">
        <x:v>T-6676</x:v>
      </x:c>
      <x:c r="H29" s="21" t="str">
        <x:v>GA calibrado</x:v>
      </x:c>
      <x:c r="I29" s="19" t="str">
        <x:v>211, 282, 336, 370, 415</x:v>
      </x:c>
      <x:c r="J29" s="21" t="str">
        <x:v>Equivalente</x:v>
      </x:c>
      <x:c r="K29" s="21" t="str"/>
      <x:c r="L29" s="21" t="str">
        <x:v>Equivalente</x:v>
      </x:c>
      <x:c r="M29" s="21" t="str">
        <x:v>Empate</x:v>
      </x:c>
      <x:c r="N29" s="21" t="str">
        <x:v>Não</x:v>
      </x:c>
      <x:c r="O29" s="21" t="str"/>
      <x:c r="P29" s="21" t="str"/>
      <x:c r="Q29" s="21" t="str">
        <x:v>Não se aplica</x:v>
      </x:c>
      <x:c r="R29" s="19" t="str">
        <x:v>Comparação única para esta dupla de composições.</x:v>
      </x:c>
      <x:c r="S29" s="19" t="str"/>
      <x:c r="U29" s="51" t="str">
        <x:v>R08</x:v>
      </x:c>
      <x:c r="V29" s="51" t="str">
        <x:v>P1</x:v>
      </x:c>
      <x:c r="W29" s="51" t="str">
        <x:v>C019, C025</x:v>
      </x:c>
      <x:c r="X29" s="51" t="str">
        <x:v>Consistente</x:v>
      </x:c>
      <x:c r="Y29" s="51" t="str">
        <x:v>C019: LLM (T-8343); C025: LLM (T-8343)</x:v>
      </x:c>
      <x:c r="Z29" s="51" t="str">
        <x:v>A mesma dupla de composições foi avaliada mais de uma vez; a decisão normalizada pelo conjunto de integrantes foi mantida.</x:v>
      </x:c>
    </x:row>
    <x:row r="30" ht="48" customHeight="1">
      <x:c r="A30" s="21" t="str">
        <x:v>C027</x:v>
      </x:c>
      <x:c r="B30" s="21" t="str">
        <x:v>P15</x:v>
      </x:c>
      <x:c r="C30" s="21" t="str">
        <x:v>GA calibrado × GA uniforme</x:v>
      </x:c>
      <x:c r="D30" s="21" t="str">
        <x:v>T-9656</x:v>
      </x:c>
      <x:c r="E30" s="21" t="str">
        <x:v>GA calibrado</x:v>
      </x:c>
      <x:c r="F30" s="19" t="str">
        <x:v>467, 498, 563, 570, 583</x:v>
      </x:c>
      <x:c r="G30" s="21" t="str">
        <x:v>T-2273</x:v>
      </x:c>
      <x:c r="H30" s="21" t="str">
        <x:v>GA uniforme</x:v>
      </x:c>
      <x:c r="I30" s="19" t="str">
        <x:v>498, 570, 579, 583, 589</x:v>
      </x:c>
      <x:c r="J30" s="21" t="str">
        <x:v>Equivalente</x:v>
      </x:c>
      <x:c r="K30" s="21" t="str"/>
      <x:c r="L30" s="21" t="str">
        <x:v>Equivalente</x:v>
      </x:c>
      <x:c r="M30" s="21" t="str">
        <x:v>Empate</x:v>
      </x:c>
      <x:c r="N30" s="21" t="str">
        <x:v>Não</x:v>
      </x:c>
      <x:c r="O30" s="21" t="str"/>
      <x:c r="P30" s="21" t="str"/>
      <x:c r="Q30" s="21" t="str">
        <x:v>Não se aplica</x:v>
      </x:c>
      <x:c r="R30" s="19" t="str">
        <x:v>Comparação única para esta dupla de composições.</x:v>
      </x:c>
      <x:c r="S30" s="19" t="str"/>
      <x:c r="U30" s="51" t="str">
        <x:v>R09</x:v>
      </x:c>
      <x:c r="V30" s="51" t="str">
        <x:v>P6</x:v>
      </x:c>
      <x:c r="W30" s="51" t="str">
        <x:v>C024, C035</x:v>
      </x:c>
      <x:c r="X30" s="51" t="str">
        <x:v>Consistente</x:v>
      </x:c>
      <x:c r="Y30" s="51" t="str">
        <x:v>C024: LLM (T-4484); C035: LLM (T-4484)</x:v>
      </x:c>
      <x:c r="Z30" s="51" t="str">
        <x:v>A mesma dupla de composições foi avaliada mais de uma vez; a decisão normalizada pelo conjunto de integrantes foi mantida.</x:v>
      </x:c>
    </x:row>
    <x:row r="31" ht="48" customHeight="1">
      <x:c r="A31" s="21" t="str">
        <x:v>C028</x:v>
      </x:c>
      <x:c r="B31" s="21" t="str">
        <x:v>P9</x:v>
      </x:c>
      <x:c r="C31" s="21" t="str">
        <x:v>GA calibrado × equipe histórica</x:v>
      </x:c>
      <x:c r="D31" s="21" t="str">
        <x:v>T-1384</x:v>
      </x:c>
      <x:c r="E31" s="21" t="str">
        <x:v>GA calibrado</x:v>
      </x:c>
      <x:c r="F31" s="19" t="str">
        <x:v>94, 290, 382, 484, 560, 647</x:v>
      </x:c>
      <x:c r="G31" s="21" t="str">
        <x:v>T-6406</x:v>
      </x:c>
      <x:c r="H31" s="21" t="str">
        <x:v>Equipe histórica</x:v>
      </x:c>
      <x:c r="I31" s="19" t="str">
        <x:v>222, 449, 473, 492, 742, 751</x:v>
      </x:c>
      <x:c r="J31" s="21" t="str">
        <x:v>B</x:v>
      </x:c>
      <x:c r="K31" s="21" t="str">
        <x:v>T-6406</x:v>
      </x:c>
      <x:c r="L31" s="21" t="str">
        <x:v>Equipe histórica</x:v>
      </x:c>
      <x:c r="M31" s="21" t="str">
        <x:v>Não</x:v>
      </x:c>
      <x:c r="N31" s="21" t="str">
        <x:v>Não</x:v>
      </x:c>
      <x:c r="O31" s="21" t="str"/>
      <x:c r="P31" s="21" t="str"/>
      <x:c r="Q31" s="21" t="str">
        <x:v>Não se aplica</x:v>
      </x:c>
      <x:c r="R31" s="19" t="str">
        <x:v>Comparação única para esta dupla de composições.</x:v>
      </x:c>
      <x:c r="S31" s="19" t="str"/>
      <x:c r="U31" s="51" t="str">
        <x:v>R10</x:v>
      </x:c>
      <x:c r="V31" s="51" t="str">
        <x:v>P5</x:v>
      </x:c>
      <x:c r="W31" s="51" t="str">
        <x:v>C032, C039</x:v>
      </x:c>
      <x:c r="X31" s="51" t="str">
        <x:v>Consistente</x:v>
      </x:c>
      <x:c r="Y31" s="51" t="str">
        <x:v>C032: Equivalente (Equivalente); C039: Equivalente (Equivalente)</x:v>
      </x:c>
      <x:c r="Z31" s="51" t="str">
        <x:v>A mesma dupla de composições foi avaliada mais de uma vez; a decisão normalizada pelo conjunto de integrantes foi mantida.</x:v>
      </x:c>
    </x:row>
    <x:row r="32" ht="38" customHeight="1">
      <x:c r="A32" s="21" t="str">
        <x:v>C029</x:v>
      </x:c>
      <x:c r="B32" s="21" t="str">
        <x:v>P10</x:v>
      </x:c>
      <x:c r="C32" s="21" t="str">
        <x:v>GA calibrado × LLM</x:v>
      </x:c>
      <x:c r="D32" s="21" t="str">
        <x:v>T-9672</x:v>
      </x:c>
      <x:c r="E32" s="21" t="str">
        <x:v>LLM</x:v>
      </x:c>
      <x:c r="F32" s="19" t="str">
        <x:v>27, 94, 183, 290, 354, 382, 402, 615</x:v>
      </x:c>
      <x:c r="G32" s="21" t="str">
        <x:v>T-5887</x:v>
      </x:c>
      <x:c r="H32" s="21" t="str">
        <x:v>GA calibrado</x:v>
      </x:c>
      <x:c r="I32" s="19" t="str">
        <x:v>27, 94, 257, 382, 477, 492, 496, 615</x:v>
      </x:c>
      <x:c r="J32" s="21" t="str">
        <x:v>A</x:v>
      </x:c>
      <x:c r="K32" s="21" t="str">
        <x:v>T-9672</x:v>
      </x:c>
      <x:c r="L32" s="21" t="str">
        <x:v>LLM</x:v>
      </x:c>
      <x:c r="M32" s="21" t="str">
        <x:v>Não</x:v>
      </x:c>
      <x:c r="N32" s="21" t="str">
        <x:v>Não</x:v>
      </x:c>
      <x:c r="O32" s="21" t="str"/>
      <x:c r="P32" s="21" t="str">
        <x:v>R01</x:v>
      </x:c>
      <x:c r="Q32" s="21" t="str">
        <x:v>Consistente</x:v>
      </x:c>
      <x:c r="R32" s="19" t="str">
        <x:v>A mesma dupla de composições foi avaliada mais de uma vez; a decisão normalizada pelo conjunto de integrantes foi mantida.</x:v>
      </x:c>
      <x:c r="S32" s="19" t="str"/>
    </x:row>
    <x:row r="33" ht="38" customHeight="1">
      <x:c r="A33" s="21" t="str">
        <x:v>C030</x:v>
      </x:c>
      <x:c r="B33" s="21" t="str">
        <x:v>P11</x:v>
      </x:c>
      <x:c r="C33" s="21" t="str">
        <x:v>GA calibrado × LLM</x:v>
      </x:c>
      <x:c r="D33" s="21" t="str">
        <x:v>T-2948</x:v>
      </x:c>
      <x:c r="E33" s="21" t="str">
        <x:v>LLM</x:v>
      </x:c>
      <x:c r="F33" s="19" t="str">
        <x:v>241, 391, 536, 537, 648, 712, 716, 743, 752</x:v>
      </x:c>
      <x:c r="G33" s="21" t="str">
        <x:v>T-2548</x:v>
      </x:c>
      <x:c r="H33" s="21" t="str">
        <x:v>GA calibrado</x:v>
      </x:c>
      <x:c r="I33" s="19" t="str">
        <x:v>282, 317, 336, 415, 437, 458, 467, 498, 583</x:v>
      </x:c>
      <x:c r="J33" s="21" t="str">
        <x:v>A</x:v>
      </x:c>
      <x:c r="K33" s="21" t="str">
        <x:v>T-2948</x:v>
      </x:c>
      <x:c r="L33" s="21" t="str">
        <x:v>LLM</x:v>
      </x:c>
      <x:c r="M33" s="21" t="str">
        <x:v>Não</x:v>
      </x:c>
      <x:c r="N33" s="21" t="str">
        <x:v>Não</x:v>
      </x:c>
      <x:c r="O33" s="21" t="str"/>
      <x:c r="P33" s="21" t="str"/>
      <x:c r="Q33" s="21" t="str">
        <x:v>Não se aplica</x:v>
      </x:c>
      <x:c r="R33" s="19" t="str">
        <x:v>Comparação única para esta dupla de composições.</x:v>
      </x:c>
      <x:c r="S33" s="19" t="str"/>
    </x:row>
    <x:row r="34" ht="38" customHeight="1">
      <x:c r="A34" s="21" t="str">
        <x:v>C031</x:v>
      </x:c>
      <x:c r="B34" s="21" t="str">
        <x:v>P7</x:v>
      </x:c>
      <x:c r="C34" s="21" t="str">
        <x:v>GA calibrado × equipe histórica</x:v>
      </x:c>
      <x:c r="D34" s="21" t="str">
        <x:v>T-1102</x:v>
      </x:c>
      <x:c r="E34" s="21" t="str">
        <x:v>Equipe histórica</x:v>
      </x:c>
      <x:c r="F34" s="19" t="str">
        <x:v>46, 326, 354, 525, 754</x:v>
      </x:c>
      <x:c r="G34" s="21" t="str">
        <x:v>T-8765</x:v>
      </x:c>
      <x:c r="H34" s="21" t="str">
        <x:v>GA calibrado</x:v>
      </x:c>
      <x:c r="I34" s="19" t="str">
        <x:v>81, 282, 336, 370, 415</x:v>
      </x:c>
      <x:c r="J34" s="21" t="str">
        <x:v>A</x:v>
      </x:c>
      <x:c r="K34" s="21" t="str">
        <x:v>T-1102</x:v>
      </x:c>
      <x:c r="L34" s="21" t="str">
        <x:v>Equipe histórica</x:v>
      </x:c>
      <x:c r="M34" s="21" t="str">
        <x:v>Não</x:v>
      </x:c>
      <x:c r="N34" s="21" t="str">
        <x:v>Não</x:v>
      </x:c>
      <x:c r="O34" s="21" t="str"/>
      <x:c r="P34" s="21" t="str"/>
      <x:c r="Q34" s="21" t="str">
        <x:v>Não se aplica</x:v>
      </x:c>
      <x:c r="R34" s="19" t="str">
        <x:v>Comparação única para esta dupla de composições.</x:v>
      </x:c>
      <x:c r="S34" s="19" t="str"/>
      <x:c r="U34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V34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W34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X34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Y34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Z34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</x:row>
    <x:row r="35" ht="38" customHeight="1">
      <x:c r="A35" s="21" t="str">
        <x:v>C032</x:v>
      </x:c>
      <x:c r="B35" s="21" t="str">
        <x:v>P5</x:v>
      </x:c>
      <x:c r="C35" s="21" t="str">
        <x:v>GA calibrado × GA uniforme</x:v>
      </x:c>
      <x:c r="D35" s="21" t="str">
        <x:v>T-8053</x:v>
      </x:c>
      <x:c r="E35" s="21" t="str">
        <x:v>GA uniforme</x:v>
      </x:c>
      <x:c r="F35" s="19" t="str">
        <x:v>336, 370, 398, 415</x:v>
      </x:c>
      <x:c r="G35" s="21" t="str">
        <x:v>T-2822</x:v>
      </x:c>
      <x:c r="H35" s="21" t="str">
        <x:v>GA calibrado</x:v>
      </x:c>
      <x:c r="I35" s="19" t="str">
        <x:v>316, 398, 415, 467</x:v>
      </x:c>
      <x:c r="J35" s="21" t="str">
        <x:v>Equivalente</x:v>
      </x:c>
      <x:c r="K35" s="21" t="str"/>
      <x:c r="L35" s="21" t="str">
        <x:v>Equivalente</x:v>
      </x:c>
      <x:c r="M35" s="21" t="str">
        <x:v>Empate</x:v>
      </x:c>
      <x:c r="N35" s="21" t="str">
        <x:v>Não</x:v>
      </x:c>
      <x:c r="O35" s="21" t="str"/>
      <x:c r="P35" s="21" t="str">
        <x:v>R10</x:v>
      </x:c>
      <x:c r="Q35" s="21" t="str">
        <x:v>Consistente</x:v>
      </x:c>
      <x:c r="R35" s="19" t="str">
        <x:v>A mesma dupla de composições foi avaliada mais de uma vez; a decisão normalizada pelo conjunto de integrantes foi mantida.</x:v>
      </x:c>
      <x:c r="S35" s="19" t="str"/>
      <x:c r="U35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V35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W35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X35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Y35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Z35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</x:row>
    <x:row r="36" ht="38" customHeight="1">
      <x:c r="A36" s="21" t="str">
        <x:v>C033</x:v>
      </x:c>
      <x:c r="B36" s="21" t="str">
        <x:v>P13</x:v>
      </x:c>
      <x:c r="C36" s="21" t="str">
        <x:v>GA calibrado × equipe histórica</x:v>
      </x:c>
      <x:c r="D36" s="21" t="str">
        <x:v>T-1559</x:v>
      </x:c>
      <x:c r="E36" s="21" t="str">
        <x:v>GA calibrado</x:v>
      </x:c>
      <x:c r="F36" s="19" t="str">
        <x:v>498, 583, 589, 720</x:v>
      </x:c>
      <x:c r="G36" s="21" t="str">
        <x:v>T-1300</x:v>
      </x:c>
      <x:c r="H36" s="21" t="str">
        <x:v>Equipe histórica</x:v>
      </x:c>
      <x:c r="I36" s="19" t="str">
        <x:v>583, 700, 705, 720</x:v>
      </x:c>
      <x:c r="J36" s="21" t="str">
        <x:v>B</x:v>
      </x:c>
      <x:c r="K36" s="21" t="str">
        <x:v>T-1300</x:v>
      </x:c>
      <x:c r="L36" s="21" t="str">
        <x:v>Equipe histórica</x:v>
      </x:c>
      <x:c r="M36" s="21" t="str">
        <x:v>Não</x:v>
      </x:c>
      <x:c r="N36" s="21" t="str">
        <x:v>Não</x:v>
      </x:c>
      <x:c r="O36" s="21" t="str"/>
      <x:c r="P36" s="21" t="str"/>
      <x:c r="Q36" s="21" t="str">
        <x:v>Não se aplica</x:v>
      </x:c>
      <x:c r="R36" s="19" t="str">
        <x:v>Comparação única para esta dupla de composições.</x:v>
      </x:c>
      <x:c r="S36" s="19" t="str"/>
      <x:c r="U36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V36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W36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X36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Y36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  <x:c r="Z36" s="55" t="str">
        <x:v>Fontes: respostas — C:\Users\felip\OneDrive\Documentos\validação final expert\[TFP] expert_study_workbook - Comparisons.csv
Chave A/B — C:\Users\felip\OneDrive\Documentos\Artigo SEIP ICSE\Expert Validation Study\researcher_key_final.xlsx</x:v>
      </x:c>
    </x:row>
    <x:row r="37" ht="38" customHeight="1">
      <x:c r="A37" s="21" t="str">
        <x:v>C034</x:v>
      </x:c>
      <x:c r="B37" s="21" t="str">
        <x:v>P9</x:v>
      </x:c>
      <x:c r="C37" s="21" t="str">
        <x:v>GA calibrado × GA uniforme</x:v>
      </x:c>
      <x:c r="D37" s="21" t="str">
        <x:v>T-8573</x:v>
      </x:c>
      <x:c r="E37" s="21" t="str">
        <x:v>GA uniforme</x:v>
      </x:c>
      <x:c r="F37" s="19" t="str">
        <x:v>282, 335, 336, 398, 415, 467</x:v>
      </x:c>
      <x:c r="G37" s="21" t="str">
        <x:v>T-1384</x:v>
      </x:c>
      <x:c r="H37" s="21" t="str">
        <x:v>GA calibrado</x:v>
      </x:c>
      <x:c r="I37" s="19" t="str">
        <x:v>94, 290, 382, 484, 560, 647</x:v>
      </x:c>
      <x:c r="J37" s="21" t="str">
        <x:v>A</x:v>
      </x:c>
      <x:c r="K37" s="21" t="str">
        <x:v>T-8573</x:v>
      </x:c>
      <x:c r="L37" s="21" t="str">
        <x:v>GA uniforme</x:v>
      </x:c>
      <x:c r="M37" s="21" t="str">
        <x:v>Não</x:v>
      </x:c>
      <x:c r="N37" s="21" t="str">
        <x:v>Não</x:v>
      </x:c>
      <x:c r="O37" s="21" t="str"/>
      <x:c r="P37" s="21" t="str">
        <x:v>R06</x:v>
      </x:c>
      <x:c r="Q37" s="21" t="str">
        <x:v>Inconsistente</x:v>
      </x:c>
      <x:c r="R37" s="19" t="str">
        <x:v>A mesma dupla de composições foi avaliada mais de uma vez, mas a composição escolhida mudou.</x:v>
      </x:c>
      <x:c r="S37" s="19" t="str"/>
    </x:row>
    <x:row r="38" ht="38" customHeight="1">
      <x:c r="A38" s="21" t="str">
        <x:v>C035</x:v>
      </x:c>
      <x:c r="B38" s="21" t="str">
        <x:v>P6</x:v>
      </x:c>
      <x:c r="C38" s="21" t="str">
        <x:v>GA calibrado × LLM</x:v>
      </x:c>
      <x:c r="D38" s="21" t="str">
        <x:v>T-4412</x:v>
      </x:c>
      <x:c r="E38" s="21" t="str">
        <x:v>GA calibrado</x:v>
      </x:c>
      <x:c r="F38" s="19" t="str">
        <x:v>94, 183, 290, 363, 382, 402, 484</x:v>
      </x:c>
      <x:c r="G38" s="21" t="str">
        <x:v>T-4484</x:v>
      </x:c>
      <x:c r="H38" s="21" t="str">
        <x:v>LLM</x:v>
      </x:c>
      <x:c r="I38" s="19" t="str">
        <x:v>114, 311, 453, 483, 490, 494, 637</x:v>
      </x:c>
      <x:c r="J38" s="21" t="str">
        <x:v>B</x:v>
      </x:c>
      <x:c r="K38" s="21" t="str">
        <x:v>T-4484</x:v>
      </x:c>
      <x:c r="L38" s="21" t="str">
        <x:v>LLM</x:v>
      </x:c>
      <x:c r="M38" s="21" t="str">
        <x:v>Não</x:v>
      </x:c>
      <x:c r="N38" s="21" t="str">
        <x:v>Sim</x:v>
      </x:c>
      <x:c r="O38" s="21" t="str">
        <x:v>C024</x:v>
      </x:c>
      <x:c r="P38" s="21" t="str">
        <x:v>R09</x:v>
      </x:c>
      <x:c r="Q38" s="21" t="str">
        <x:v>Consistente</x:v>
      </x:c>
      <x:c r="R38" s="19" t="str">
        <x:v>A mesma dupla de composições foi avaliada mais de uma vez; a decisão normalizada pelo conjunto de integrantes foi mantida.</x:v>
      </x:c>
      <x:c r="S38" s="19" t="str"/>
      <x:c r="U38" s="24" t="str">
        <x:v>GA calibrado por adversário</x:v>
      </x:c>
      <x:c r="V38" s="24" t="str">
        <x:v>GA calibrado por adversário</x:v>
      </x:c>
      <x:c r="W38" s="24" t="str">
        <x:v>GA calibrado por adversário</x:v>
      </x:c>
      <x:c r="X38" s="24" t="str">
        <x:v>GA calibrado por adversário</x:v>
      </x:c>
    </x:row>
    <x:row r="39" ht="38" customHeight="1">
      <x:c r="A39" s="21" t="str">
        <x:v>C036</x:v>
      </x:c>
      <x:c r="B39" s="21" t="str">
        <x:v>P14</x:v>
      </x:c>
      <x:c r="C39" s="21" t="str">
        <x:v>GA calibrado × LLM</x:v>
      </x:c>
      <x:c r="D39" s="21" t="str">
        <x:v>T-2098</x:v>
      </x:c>
      <x:c r="E39" s="21" t="str">
        <x:v>GA calibrado</x:v>
      </x:c>
      <x:c r="F39" s="19" t="str">
        <x:v>220, 357, 359, 503</x:v>
      </x:c>
      <x:c r="G39" s="21" t="str">
        <x:v>T-6570</x:v>
      </x:c>
      <x:c r="H39" s="21" t="str">
        <x:v>LLM</x:v>
      </x:c>
      <x:c r="I39" s="19" t="str">
        <x:v>250, 468, 637, 744</x:v>
      </x:c>
      <x:c r="J39" s="21" t="str">
        <x:v>Equivalente</x:v>
      </x:c>
      <x:c r="K39" s="21" t="str"/>
      <x:c r="L39" s="21" t="str">
        <x:v>Equivalente</x:v>
      </x:c>
      <x:c r="M39" s="21" t="str">
        <x:v>Empate</x:v>
      </x:c>
      <x:c r="N39" s="21" t="str">
        <x:v>Não</x:v>
      </x:c>
      <x:c r="O39" s="21" t="str"/>
      <x:c r="P39" s="21" t="str"/>
      <x:c r="Q39" s="21" t="str">
        <x:v>Não se aplica</x:v>
      </x:c>
      <x:c r="R39" s="19" t="str">
        <x:v>Comparação única para esta dupla de composições.</x:v>
      </x:c>
      <x:c r="S39" s="19" t="str"/>
      <x:c r="U39" s="12" t="str">
        <x:v>Adversário</x:v>
      </x:c>
      <x:c r="V39" s="12" t="str">
        <x:v>GA escolhido</x:v>
      </x:c>
      <x:c r="W39" s="12" t="str">
        <x:v>Adversário escolhido</x:v>
      </x:c>
      <x:c r="X39" s="12" t="str">
        <x:v>Equivalente</x:v>
      </x:c>
    </x:row>
    <x:row r="40" ht="38" customHeight="1">
      <x:c r="A40" s="21" t="str">
        <x:v>C037</x:v>
      </x:c>
      <x:c r="B40" s="21" t="str">
        <x:v>P7</x:v>
      </x:c>
      <x:c r="C40" s="21" t="str">
        <x:v>GA calibrado × GA uniforme</x:v>
      </x:c>
      <x:c r="D40" s="21" t="str">
        <x:v>T-4479</x:v>
      </x:c>
      <x:c r="E40" s="21" t="str">
        <x:v>GA uniforme</x:v>
      </x:c>
      <x:c r="F40" s="19" t="str">
        <x:v>27, 257, 477, 496, 615</x:v>
      </x:c>
      <x:c r="G40" s="21" t="str">
        <x:v>T-8765</x:v>
      </x:c>
      <x:c r="H40" s="21" t="str">
        <x:v>GA calibrado</x:v>
      </x:c>
      <x:c r="I40" s="19" t="str">
        <x:v>81, 282, 336, 370, 415</x:v>
      </x:c>
      <x:c r="J40" s="21" t="str">
        <x:v>A</x:v>
      </x:c>
      <x:c r="K40" s="21" t="str">
        <x:v>T-4479</x:v>
      </x:c>
      <x:c r="L40" s="21" t="str">
        <x:v>GA uniforme</x:v>
      </x:c>
      <x:c r="M40" s="21" t="str">
        <x:v>Não</x:v>
      </x:c>
      <x:c r="N40" s="21" t="str">
        <x:v>Não</x:v>
      </x:c>
      <x:c r="O40" s="21" t="str"/>
      <x:c r="P40" s="21" t="str"/>
      <x:c r="Q40" s="21" t="str">
        <x:v>Não se aplica</x:v>
      </x:c>
      <x:c r="R40" s="19" t="str">
        <x:v>Comparação única para esta dupla de composições.</x:v>
      </x:c>
      <x:c r="S40" s="19" t="str"/>
      <x:c r="U40" s="58" t="str">
        <x:v>Equipe histórica (H)</x:v>
      </x:c>
      <x:c r="V40" s="56" t="n">
        <x:f>COUNTIFS($C$4:$C$55,"GA calibrado × equipe histórica",$L$4:$L$55,"GA calibrado")</x:f>
        <x:v>3</x:v>
      </x:c>
      <x:c r="W40" s="56" t="n">
        <x:f>COUNTIFS($C$4:$C$55,"GA calibrado × equipe histórica",$L$4:$L$55,"Equipe histórica")</x:f>
        <x:v>15</x:v>
      </x:c>
      <x:c r="X40" s="56" t="n">
        <x:f>COUNTIFS($C$4:$C$55,"GA calibrado × equipe histórica",$L$4:$L$55,"Equivalente")</x:f>
        <x:v>1</x:v>
      </x:c>
    </x:row>
    <x:row r="41" ht="38" customHeight="1">
      <x:c r="A41" s="21" t="str">
        <x:v>C038</x:v>
      </x:c>
      <x:c r="B41" s="21" t="str">
        <x:v>P8</x:v>
      </x:c>
      <x:c r="C41" s="21" t="str">
        <x:v>GA calibrado × equipe histórica</x:v>
      </x:c>
      <x:c r="D41" s="21" t="str">
        <x:v>T-4732</x:v>
      </x:c>
      <x:c r="E41" s="21" t="str">
        <x:v>Equipe histórica</x:v>
      </x:c>
      <x:c r="F41" s="19" t="str">
        <x:v>8, 225, 520, 656, 688</x:v>
      </x:c>
      <x:c r="G41" s="21" t="str">
        <x:v>T-1457</x:v>
      </x:c>
      <x:c r="H41" s="21" t="str">
        <x:v>GA calibrado</x:v>
      </x:c>
      <x:c r="I41" s="19" t="str">
        <x:v>81, 336, 370, 398, 415</x:v>
      </x:c>
      <x:c r="J41" s="21" t="str">
        <x:v>B</x:v>
      </x:c>
      <x:c r="K41" s="21" t="str">
        <x:v>T-1457</x:v>
      </x:c>
      <x:c r="L41" s="21" t="str">
        <x:v>GA calibrado</x:v>
      </x:c>
      <x:c r="M41" s="21" t="str">
        <x:v>Sim</x:v>
      </x:c>
      <x:c r="N41" s="21" t="str">
        <x:v>Não</x:v>
      </x:c>
      <x:c r="O41" s="21" t="str"/>
      <x:c r="P41" s="21" t="str"/>
      <x:c r="Q41" s="21" t="str">
        <x:v>Não se aplica</x:v>
      </x:c>
      <x:c r="R41" s="19" t="str">
        <x:v>Comparação única para esta dupla de composições.</x:v>
      </x:c>
      <x:c r="S41" s="19" t="str"/>
      <x:c r="U41" s="58" t="str">
        <x:v>LLM (L)</x:v>
      </x:c>
      <x:c r="V41" s="56" t="n">
        <x:f>COUNTIFS($C$4:$C$55,"GA calibrado × LLM",$L$4:$L$55,"GA calibrado")</x:f>
        <x:v>3</x:v>
      </x:c>
      <x:c r="W41" s="56" t="n">
        <x:f>COUNTIFS($C$4:$C$55,"GA calibrado × LLM",$L$4:$L$55,"LLM")</x:f>
        <x:v>14</x:v>
      </x:c>
      <x:c r="X41" s="56" t="n">
        <x:f>COUNTIFS($C$4:$C$55,"GA calibrado × LLM",$L$4:$L$55,"Equivalente")</x:f>
        <x:v>2</x:v>
      </x:c>
    </x:row>
    <x:row r="42" ht="38" customHeight="1">
      <x:c r="A42" s="21" t="str">
        <x:v>C039</x:v>
      </x:c>
      <x:c r="B42" s="21" t="str">
        <x:v>P5</x:v>
      </x:c>
      <x:c r="C42" s="21" t="str">
        <x:v>GA calibrado × GA uniforme</x:v>
      </x:c>
      <x:c r="D42" s="21" t="str">
        <x:v>T-2822</x:v>
      </x:c>
      <x:c r="E42" s="21" t="str">
        <x:v>GA calibrado</x:v>
      </x:c>
      <x:c r="F42" s="19" t="str">
        <x:v>316, 398, 415, 467</x:v>
      </x:c>
      <x:c r="G42" s="21" t="str">
        <x:v>T-8053</x:v>
      </x:c>
      <x:c r="H42" s="21" t="str">
        <x:v>GA uniforme</x:v>
      </x:c>
      <x:c r="I42" s="19" t="str">
        <x:v>336, 370, 398, 415</x:v>
      </x:c>
      <x:c r="J42" s="21" t="str">
        <x:v>Equivalente</x:v>
      </x:c>
      <x:c r="K42" s="21" t="str"/>
      <x:c r="L42" s="21" t="str">
        <x:v>Equivalente</x:v>
      </x:c>
      <x:c r="M42" s="21" t="str">
        <x:v>Empate</x:v>
      </x:c>
      <x:c r="N42" s="21" t="str">
        <x:v>Sim</x:v>
      </x:c>
      <x:c r="O42" s="21" t="str">
        <x:v>C032</x:v>
      </x:c>
      <x:c r="P42" s="21" t="str">
        <x:v>R10</x:v>
      </x:c>
      <x:c r="Q42" s="21" t="str">
        <x:v>Consistente</x:v>
      </x:c>
      <x:c r="R42" s="19" t="str">
        <x:v>A mesma dupla de composições foi avaliada mais de uma vez; a decisão normalizada pelo conjunto de integrantes foi mantida.</x:v>
      </x:c>
      <x:c r="S42" s="19" t="str"/>
      <x:c r="U42" s="58" t="str">
        <x:v>GA uniforme (U)</x:v>
      </x:c>
      <x:c r="V42" s="56" t="n">
        <x:f>COUNTIFS($C$4:$C$55,"GA calibrado × GA uniforme",$L$4:$L$55,"GA calibrado")</x:f>
        <x:v>2</x:v>
      </x:c>
      <x:c r="W42" s="56" t="n">
        <x:f>COUNTIFS($C$4:$C$55,"GA calibrado × GA uniforme",$L$4:$L$55,"GA uniforme")</x:f>
        <x:v>6</x:v>
      </x:c>
      <x:c r="X42" s="56" t="n">
        <x:f>COUNTIFS($C$4:$C$55,"GA calibrado × GA uniforme",$L$4:$L$55,"Equivalente")</x:f>
        <x:v>6</x:v>
      </x:c>
    </x:row>
    <x:row r="43" ht="38" customHeight="1">
      <x:c r="A43" s="21" t="str">
        <x:v>C040</x:v>
      </x:c>
      <x:c r="B43" s="21" t="str">
        <x:v>P2</x:v>
      </x:c>
      <x:c r="C43" s="21" t="str">
        <x:v>GA calibrado × LLM</x:v>
      </x:c>
      <x:c r="D43" s="21" t="str">
        <x:v>T-4526</x:v>
      </x:c>
      <x:c r="E43" s="21" t="str">
        <x:v>GA calibrado</x:v>
      </x:c>
      <x:c r="F43" s="19" t="str">
        <x:v>7, 33, 94, 290, 397, 447, 484, 560</x:v>
      </x:c>
      <x:c r="G43" s="21" t="str">
        <x:v>T-5996</x:v>
      </x:c>
      <x:c r="H43" s="21" t="str">
        <x:v>LLM</x:v>
      </x:c>
      <x:c r="I43" s="19" t="str">
        <x:v>169, 177, 222, 457, 479, 545, 550, 676</x:v>
      </x:c>
      <x:c r="J43" s="21" t="str">
        <x:v>B</x:v>
      </x:c>
      <x:c r="K43" s="21" t="str">
        <x:v>T-5996</x:v>
      </x:c>
      <x:c r="L43" s="21" t="str">
        <x:v>LLM</x:v>
      </x:c>
      <x:c r="M43" s="21" t="str">
        <x:v>Não</x:v>
      </x:c>
      <x:c r="N43" s="21" t="str">
        <x:v>Não</x:v>
      </x:c>
      <x:c r="O43" s="21" t="str"/>
      <x:c r="P43" s="21" t="str">
        <x:v>R07</x:v>
      </x:c>
      <x:c r="Q43" s="21" t="str">
        <x:v>Inconsistente</x:v>
      </x:c>
      <x:c r="R43" s="19" t="str">
        <x:v>A mesma dupla de composições foi avaliada mais de uma vez, mas a composição escolhida mudou.</x:v>
      </x:c>
      <x:c r="S43" s="19" t="str"/>
    </x:row>
    <x:row r="44" ht="38" customHeight="1">
      <x:c r="A44" s="21" t="str">
        <x:v>C041</x:v>
      </x:c>
      <x:c r="B44" s="21" t="str">
        <x:v>P12</x:v>
      </x:c>
      <x:c r="C44" s="21" t="str">
        <x:v>GA calibrado × LLM</x:v>
      </x:c>
      <x:c r="D44" s="21" t="str">
        <x:v>T-8599</x:v>
      </x:c>
      <x:c r="E44" s="21" t="str">
        <x:v>GA calibrado</x:v>
      </x:c>
      <x:c r="F44" s="19" t="str">
        <x:v>398, 415, 458, 467</x:v>
      </x:c>
      <x:c r="G44" s="21" t="str">
        <x:v>T-4278</x:v>
      </x:c>
      <x:c r="H44" s="21" t="str">
        <x:v>LLM</x:v>
      </x:c>
      <x:c r="I44" s="19" t="str">
        <x:v>169, 335, 716, 746</x:v>
      </x:c>
      <x:c r="J44" s="21" t="str">
        <x:v>B</x:v>
      </x:c>
      <x:c r="K44" s="21" t="str">
        <x:v>T-4278</x:v>
      </x:c>
      <x:c r="L44" s="21" t="str">
        <x:v>LLM</x:v>
      </x:c>
      <x:c r="M44" s="21" t="str">
        <x:v>Não</x:v>
      </x:c>
      <x:c r="N44" s="21" t="str">
        <x:v>Não</x:v>
      </x:c>
      <x:c r="O44" s="21" t="str"/>
      <x:c r="P44" s="21" t="str"/>
      <x:c r="Q44" s="21" t="str">
        <x:v>Não se aplica</x:v>
      </x:c>
      <x:c r="R44" s="19" t="str">
        <x:v>Comparação única para esta dupla de composições.</x:v>
      </x:c>
      <x:c r="S44" s="19" t="str"/>
    </x:row>
    <x:row r="45" ht="38" customHeight="1">
      <x:c r="A45" s="21" t="str">
        <x:v>C042</x:v>
      </x:c>
      <x:c r="B45" s="21" t="str">
        <x:v>P6</x:v>
      </x:c>
      <x:c r="C45" s="21" t="str">
        <x:v>GA calibrado × equipe histórica</x:v>
      </x:c>
      <x:c r="D45" s="21" t="str">
        <x:v>T-4412</x:v>
      </x:c>
      <x:c r="E45" s="21" t="str">
        <x:v>GA calibrado</x:v>
      </x:c>
      <x:c r="F45" s="19" t="str">
        <x:v>94, 183, 290, 363, 382, 402, 484</x:v>
      </x:c>
      <x:c r="G45" s="21" t="str">
        <x:v>T-8656</x:v>
      </x:c>
      <x:c r="H45" s="21" t="str">
        <x:v>Equipe histórica</x:v>
      </x:c>
      <x:c r="I45" s="19" t="str">
        <x:v>281, 311, 453, 483, 490, 494, 637</x:v>
      </x:c>
      <x:c r="J45" s="21" t="str">
        <x:v>B</x:v>
      </x:c>
      <x:c r="K45" s="21" t="str">
        <x:v>T-8656</x:v>
      </x:c>
      <x:c r="L45" s="21" t="str">
        <x:v>Equipe histórica</x:v>
      </x:c>
      <x:c r="M45" s="21" t="str">
        <x:v>Não</x:v>
      </x:c>
      <x:c r="N45" s="21" t="str">
        <x:v>Não</x:v>
      </x:c>
      <x:c r="O45" s="21" t="str"/>
      <x:c r="P45" s="21" t="str"/>
      <x:c r="Q45" s="21" t="str">
        <x:v>Não se aplica</x:v>
      </x:c>
      <x:c r="R45" s="19" t="str">
        <x:v>Comparação única para esta dupla de composições.</x:v>
      </x:c>
      <x:c r="S45" s="19" t="str"/>
    </x:row>
    <x:row r="46" ht="38" customHeight="1">
      <x:c r="A46" s="21" t="str">
        <x:v>C043</x:v>
      </x:c>
      <x:c r="B46" s="21" t="str">
        <x:v>P5</x:v>
      </x:c>
      <x:c r="C46" s="21" t="str">
        <x:v>GA calibrado × equipe histórica</x:v>
      </x:c>
      <x:c r="D46" s="21" t="str">
        <x:v>T-2639</x:v>
      </x:c>
      <x:c r="E46" s="21" t="str">
        <x:v>Equipe histórica</x:v>
      </x:c>
      <x:c r="F46" s="19" t="str">
        <x:v>27, 317, 351, 516</x:v>
      </x:c>
      <x:c r="G46" s="21" t="str">
        <x:v>T-2822</x:v>
      </x:c>
      <x:c r="H46" s="21" t="str">
        <x:v>GA calibrado</x:v>
      </x:c>
      <x:c r="I46" s="19" t="str">
        <x:v>316, 398, 415, 467</x:v>
      </x:c>
      <x:c r="J46" s="21" t="str">
        <x:v>A</x:v>
      </x:c>
      <x:c r="K46" s="21" t="str">
        <x:v>T-2639</x:v>
      </x:c>
      <x:c r="L46" s="21" t="str">
        <x:v>Equipe histórica</x:v>
      </x:c>
      <x:c r="M46" s="21" t="str">
        <x:v>Não</x:v>
      </x:c>
      <x:c r="N46" s="21" t="str">
        <x:v>Não</x:v>
      </x:c>
      <x:c r="O46" s="21" t="str"/>
      <x:c r="P46" s="21" t="str">
        <x:v>R02</x:v>
      </x:c>
      <x:c r="Q46" s="21" t="str">
        <x:v>Consistente</x:v>
      </x:c>
      <x:c r="R46" s="19" t="str">
        <x:v>A mesma dupla de composições foi avaliada mais de uma vez; a decisão normalizada pelo conjunto de integrantes foi mantida.</x:v>
      </x:c>
      <x:c r="S46" s="19" t="str"/>
    </x:row>
    <x:row r="47" ht="38" customHeight="1">
      <x:c r="A47" s="21" t="str">
        <x:v>C044</x:v>
      </x:c>
      <x:c r="B47" s="21" t="str">
        <x:v>P7</x:v>
      </x:c>
      <x:c r="C47" s="21" t="str">
        <x:v>GA calibrado × LLM</x:v>
      </x:c>
      <x:c r="D47" s="21" t="str">
        <x:v>T-4770</x:v>
      </x:c>
      <x:c r="E47" s="21" t="str">
        <x:v>LLM</x:v>
      </x:c>
      <x:c r="F47" s="19" t="str">
        <x:v>46, 183, 326, 354, 525</x:v>
      </x:c>
      <x:c r="G47" s="21" t="str">
        <x:v>T-8765</x:v>
      </x:c>
      <x:c r="H47" s="21" t="str">
        <x:v>GA calibrado</x:v>
      </x:c>
      <x:c r="I47" s="19" t="str">
        <x:v>81, 282, 336, 370, 415</x:v>
      </x:c>
      <x:c r="J47" s="21" t="str">
        <x:v>A</x:v>
      </x:c>
      <x:c r="K47" s="21" t="str">
        <x:v>T-4770</x:v>
      </x:c>
      <x:c r="L47" s="21" t="str">
        <x:v>LLM</x:v>
      </x:c>
      <x:c r="M47" s="21" t="str">
        <x:v>Não</x:v>
      </x:c>
      <x:c r="N47" s="21" t="str">
        <x:v>Não</x:v>
      </x:c>
      <x:c r="O47" s="21" t="str"/>
      <x:c r="P47" s="21" t="str"/>
      <x:c r="Q47" s="21" t="str">
        <x:v>Não se aplica</x:v>
      </x:c>
      <x:c r="R47" s="19" t="str">
        <x:v>Comparação única para esta dupla de composições.</x:v>
      </x:c>
      <x:c r="S47" s="19" t="str"/>
    </x:row>
    <x:row r="48" ht="38" customHeight="1">
      <x:c r="A48" s="21" t="str">
        <x:v>C045</x:v>
      </x:c>
      <x:c r="B48" s="21" t="str">
        <x:v>P1</x:v>
      </x:c>
      <x:c r="C48" s="21" t="str">
        <x:v>GA calibrado × GA uniforme</x:v>
      </x:c>
      <x:c r="D48" s="21" t="str">
        <x:v>T-6473</x:v>
      </x:c>
      <x:c r="E48" s="21" t="str">
        <x:v>GA calibrado</x:v>
      </x:c>
      <x:c r="F48" s="19" t="str">
        <x:v>170, 220, 305, 324, 359, 448, 503, 543, 578</x:v>
      </x:c>
      <x:c r="G48" s="21" t="str">
        <x:v>T-4743</x:v>
      </x:c>
      <x:c r="H48" s="21" t="str">
        <x:v>GA uniforme</x:v>
      </x:c>
      <x:c r="I48" s="19" t="str">
        <x:v>170, 220, 305, 324, 359, 448, 503, 544, 578</x:v>
      </x:c>
      <x:c r="J48" s="21" t="str">
        <x:v>Equivalente</x:v>
      </x:c>
      <x:c r="K48" s="21" t="str"/>
      <x:c r="L48" s="21" t="str">
        <x:v>Equivalente</x:v>
      </x:c>
      <x:c r="M48" s="21" t="str">
        <x:v>Empate</x:v>
      </x:c>
      <x:c r="N48" s="21" t="str">
        <x:v>Não</x:v>
      </x:c>
      <x:c r="O48" s="21" t="str"/>
      <x:c r="P48" s="21" t="str"/>
      <x:c r="Q48" s="21" t="str">
        <x:v>Não se aplica</x:v>
      </x:c>
      <x:c r="R48" s="19" t="str">
        <x:v>Comparação única para esta dupla de composições.</x:v>
      </x:c>
      <x:c r="S48" s="19" t="str"/>
    </x:row>
    <x:row r="49" ht="38" customHeight="1">
      <x:c r="A49" s="21" t="str">
        <x:v>C046</x:v>
      </x:c>
      <x:c r="B49" s="21" t="str">
        <x:v>P16</x:v>
      </x:c>
      <x:c r="C49" s="21" t="str">
        <x:v>GA calibrado × LLM</x:v>
      </x:c>
      <x:c r="D49" s="21" t="str">
        <x:v>T-9373</x:v>
      </x:c>
      <x:c r="E49" s="21" t="str">
        <x:v>GA calibrado</x:v>
      </x:c>
      <x:c r="F49" s="19" t="str">
        <x:v>81, 282, 316, 317, 336, 370, 398, 415, 467</x:v>
      </x:c>
      <x:c r="G49" s="21" t="str">
        <x:v>T-6812</x:v>
      </x:c>
      <x:c r="H49" s="21" t="str">
        <x:v>LLM</x:v>
      </x:c>
      <x:c r="I49" s="19" t="str">
        <x:v>265, 363, 402, 495, 509, 620, 677, 692, 725</x:v>
      </x:c>
      <x:c r="J49" s="21" t="str">
        <x:v>B</x:v>
      </x:c>
      <x:c r="K49" s="21" t="str">
        <x:v>T-6812</x:v>
      </x:c>
      <x:c r="L49" s="21" t="str">
        <x:v>LLM</x:v>
      </x:c>
      <x:c r="M49" s="21" t="str">
        <x:v>Não</x:v>
      </x:c>
      <x:c r="N49" s="21" t="str">
        <x:v>Sim</x:v>
      </x:c>
      <x:c r="O49" s="21" t="str">
        <x:v>C003</x:v>
      </x:c>
      <x:c r="P49" s="21" t="str">
        <x:v>R03</x:v>
      </x:c>
      <x:c r="Q49" s="21" t="str">
        <x:v>Inconsistente</x:v>
      </x:c>
      <x:c r="R49" s="19" t="str">
        <x:v>A mesma dupla de composições foi avaliada mais de uma vez, mas a composição escolhida mudou.</x:v>
      </x:c>
      <x:c r="S49" s="19" t="str"/>
    </x:row>
    <x:row r="50" ht="38" customHeight="1">
      <x:c r="A50" s="21" t="str">
        <x:v>C047</x:v>
      </x:c>
      <x:c r="B50" s="21" t="str">
        <x:v>P11</x:v>
      </x:c>
      <x:c r="C50" s="21" t="str">
        <x:v>GA calibrado × equipe histórica</x:v>
      </x:c>
      <x:c r="D50" s="21" t="str">
        <x:v>T-4785</x:v>
      </x:c>
      <x:c r="E50" s="21" t="str">
        <x:v>Equipe histórica</x:v>
      </x:c>
      <x:c r="F50" s="19" t="str">
        <x:v>180, 241, 536, 537, 648, 712, 716, 743, 752</x:v>
      </x:c>
      <x:c r="G50" s="21" t="str">
        <x:v>T-2548</x:v>
      </x:c>
      <x:c r="H50" s="21" t="str">
        <x:v>GA calibrado</x:v>
      </x:c>
      <x:c r="I50" s="19" t="str">
        <x:v>282, 317, 336, 415, 437, 458, 467, 498, 583</x:v>
      </x:c>
      <x:c r="J50" s="21" t="str">
        <x:v>A</x:v>
      </x:c>
      <x:c r="K50" s="21" t="str">
        <x:v>T-4785</x:v>
      </x:c>
      <x:c r="L50" s="21" t="str">
        <x:v>Equipe histórica</x:v>
      </x:c>
      <x:c r="M50" s="21" t="str">
        <x:v>Não</x:v>
      </x:c>
      <x:c r="N50" s="21" t="str">
        <x:v>Não</x:v>
      </x:c>
      <x:c r="O50" s="21" t="str"/>
      <x:c r="P50" s="21" t="str"/>
      <x:c r="Q50" s="21" t="str">
        <x:v>Não se aplica</x:v>
      </x:c>
      <x:c r="R50" s="19" t="str">
        <x:v>Comparação única para esta dupla de composições.</x:v>
      </x:c>
      <x:c r="S50" s="19" t="str"/>
    </x:row>
    <x:row r="51" ht="38" customHeight="1">
      <x:c r="A51" s="21" t="str">
        <x:v>C048</x:v>
      </x:c>
      <x:c r="B51" s="21" t="str">
        <x:v>P12</x:v>
      </x:c>
      <x:c r="C51" s="21" t="str">
        <x:v>GA calibrado × equipe histórica</x:v>
      </x:c>
      <x:c r="D51" s="21" t="str">
        <x:v>T-4709</x:v>
      </x:c>
      <x:c r="E51" s="21" t="str">
        <x:v>Equipe histórica</x:v>
      </x:c>
      <x:c r="F51" s="19" t="str">
        <x:v>335, 705, 716, 746</x:v>
      </x:c>
      <x:c r="G51" s="21" t="str">
        <x:v>T-8599</x:v>
      </x:c>
      <x:c r="H51" s="21" t="str">
        <x:v>GA calibrado</x:v>
      </x:c>
      <x:c r="I51" s="19" t="str">
        <x:v>398, 415, 458, 467</x:v>
      </x:c>
      <x:c r="J51" s="21" t="str">
        <x:v>A</x:v>
      </x:c>
      <x:c r="K51" s="21" t="str">
        <x:v>T-4709</x:v>
      </x:c>
      <x:c r="L51" s="21" t="str">
        <x:v>Equipe histórica</x:v>
      </x:c>
      <x:c r="M51" s="21" t="str">
        <x:v>Não</x:v>
      </x:c>
      <x:c r="N51" s="21" t="str">
        <x:v>Não</x:v>
      </x:c>
      <x:c r="O51" s="21" t="str"/>
      <x:c r="P51" s="21" t="str"/>
      <x:c r="Q51" s="21" t="str">
        <x:v>Não se aplica</x:v>
      </x:c>
      <x:c r="R51" s="19" t="str">
        <x:v>Comparação única para esta dupla de composições.</x:v>
      </x:c>
      <x:c r="S51" s="19" t="str"/>
    </x:row>
    <x:row r="52" ht="38" customHeight="1">
      <x:c r="A52" s="21" t="str">
        <x:v>C049</x:v>
      </x:c>
      <x:c r="B52" s="21" t="str">
        <x:v>P11</x:v>
      </x:c>
      <x:c r="C52" s="21" t="str">
        <x:v>GA calibrado × GA uniforme</x:v>
      </x:c>
      <x:c r="D52" s="21" t="str">
        <x:v>T-8779</x:v>
      </x:c>
      <x:c r="E52" s="21" t="str">
        <x:v>GA uniforme</x:v>
      </x:c>
      <x:c r="F52" s="19" t="str">
        <x:v>170, 220, 305, 324, 359, 448, 503, 543, 578</x:v>
      </x:c>
      <x:c r="G52" s="21" t="str">
        <x:v>T-2548</x:v>
      </x:c>
      <x:c r="H52" s="21" t="str">
        <x:v>GA calibrado</x:v>
      </x:c>
      <x:c r="I52" s="19" t="str">
        <x:v>282, 317, 336, 415, 437, 458, 467, 498, 583</x:v>
      </x:c>
      <x:c r="J52" s="21" t="str">
        <x:v>A</x:v>
      </x:c>
      <x:c r="K52" s="21" t="str">
        <x:v>T-8779</x:v>
      </x:c>
      <x:c r="L52" s="21" t="str">
        <x:v>GA uniforme</x:v>
      </x:c>
      <x:c r="M52" s="21" t="str">
        <x:v>Não</x:v>
      </x:c>
      <x:c r="N52" s="21" t="str">
        <x:v>Não</x:v>
      </x:c>
      <x:c r="O52" s="21" t="str"/>
      <x:c r="P52" s="21" t="str"/>
      <x:c r="Q52" s="21" t="str">
        <x:v>Não se aplica</x:v>
      </x:c>
      <x:c r="R52" s="19" t="str">
        <x:v>Comparação única para esta dupla de composições.</x:v>
      </x:c>
      <x:c r="S52" s="19" t="str"/>
    </x:row>
    <x:row r="53" ht="38" customHeight="1">
      <x:c r="A53" s="21" t="str">
        <x:v>C050</x:v>
      </x:c>
      <x:c r="B53" s="21" t="str">
        <x:v>P10</x:v>
      </x:c>
      <x:c r="C53" s="21" t="str">
        <x:v>GA calibrado × equipe histórica</x:v>
      </x:c>
      <x:c r="D53" s="21" t="str">
        <x:v>T-5887</x:v>
      </x:c>
      <x:c r="E53" s="21" t="str">
        <x:v>GA calibrado</x:v>
      </x:c>
      <x:c r="F53" s="19" t="str">
        <x:v>27, 94, 257, 382, 477, 492, 496, 615</x:v>
      </x:c>
      <x:c r="G53" s="21" t="str">
        <x:v>T-9473</x:v>
      </x:c>
      <x:c r="H53" s="21" t="str">
        <x:v>Equipe histórica</x:v>
      </x:c>
      <x:c r="I53" s="19" t="str">
        <x:v>27, 94, 183, 290, 354, 382, 402, 615</x:v>
      </x:c>
      <x:c r="J53" s="21" t="str">
        <x:v>B</x:v>
      </x:c>
      <x:c r="K53" s="21" t="str">
        <x:v>T-9473</x:v>
      </x:c>
      <x:c r="L53" s="21" t="str">
        <x:v>Equipe histórica</x:v>
      </x:c>
      <x:c r="M53" s="21" t="str">
        <x:v>Não</x:v>
      </x:c>
      <x:c r="N53" s="21" t="str">
        <x:v>Sim</x:v>
      </x:c>
      <x:c r="O53" s="21" t="str">
        <x:v>C001</x:v>
      </x:c>
      <x:c r="P53" s="21" t="str">
        <x:v>R01</x:v>
      </x:c>
      <x:c r="Q53" s="21" t="str">
        <x:v>Consistente</x:v>
      </x:c>
      <x:c r="R53" s="19" t="str">
        <x:v>A mesma dupla de composições foi avaliada mais de uma vez; a decisão normalizada pelo conjunto de integrantes foi mantida.</x:v>
      </x:c>
      <x:c r="S53" s="19" t="str"/>
    </x:row>
    <x:row r="54" ht="38" customHeight="1">
      <x:c r="A54" s="21" t="str">
        <x:v>C051</x:v>
      </x:c>
      <x:c r="B54" s="21" t="str">
        <x:v>P9</x:v>
      </x:c>
      <x:c r="C54" s="21" t="str">
        <x:v>GA calibrado × LLM</x:v>
      </x:c>
      <x:c r="D54" s="21" t="str">
        <x:v>T-1384</x:v>
      </x:c>
      <x:c r="E54" s="21" t="str">
        <x:v>GA calibrado</x:v>
      </x:c>
      <x:c r="F54" s="19" t="str">
        <x:v>94, 290, 382, 484, 560, 647</x:v>
      </x:c>
      <x:c r="G54" s="21" t="str">
        <x:v>T-4769</x:v>
      </x:c>
      <x:c r="H54" s="21" t="str">
        <x:v>LLM</x:v>
      </x:c>
      <x:c r="I54" s="19" t="str">
        <x:v>114, 222, 449, 473, 492, 742</x:v>
      </x:c>
      <x:c r="J54" s="21" t="str">
        <x:v>B</x:v>
      </x:c>
      <x:c r="K54" s="21" t="str">
        <x:v>T-4769</x:v>
      </x:c>
      <x:c r="L54" s="21" t="str">
        <x:v>LLM</x:v>
      </x:c>
      <x:c r="M54" s="21" t="str">
        <x:v>Não</x:v>
      </x:c>
      <x:c r="N54" s="21" t="str">
        <x:v>Não</x:v>
      </x:c>
      <x:c r="O54" s="21" t="str"/>
      <x:c r="P54" s="21" t="str"/>
      <x:c r="Q54" s="21" t="str">
        <x:v>Não se aplica</x:v>
      </x:c>
      <x:c r="R54" s="19" t="str">
        <x:v>Comparação única para esta dupla de composições.</x:v>
      </x:c>
      <x:c r="S54" s="19" t="str"/>
    </x:row>
    <x:row r="55" ht="38" customHeight="1">
      <x:c r="A55" s="21" t="str">
        <x:v>C052</x:v>
      </x:c>
      <x:c r="B55" s="21" t="str">
        <x:v>P16</x:v>
      </x:c>
      <x:c r="C55" s="21" t="str">
        <x:v>GA calibrado × equipe histórica</x:v>
      </x:c>
      <x:c r="D55" s="21" t="str">
        <x:v>T-9373</x:v>
      </x:c>
      <x:c r="E55" s="21" t="str">
        <x:v>GA calibrado</x:v>
      </x:c>
      <x:c r="F55" s="19" t="str">
        <x:v>81, 282, 316, 317, 336, 370, 398, 415, 467</x:v>
      </x:c>
      <x:c r="G55" s="21" t="str">
        <x:v>T-4887</x:v>
      </x:c>
      <x:c r="H55" s="21" t="str">
        <x:v>Equipe histórica</x:v>
      </x:c>
      <x:c r="I55" s="19" t="str">
        <x:v>265, 281, 363, 509, 620, 677, 692, 725, 757</x:v>
      </x:c>
      <x:c r="J55" s="21" t="str">
        <x:v>B</x:v>
      </x:c>
      <x:c r="K55" s="21" t="str">
        <x:v>T-4887</x:v>
      </x:c>
      <x:c r="L55" s="21" t="str">
        <x:v>Equipe histórica</x:v>
      </x:c>
      <x:c r="M55" s="21" t="str">
        <x:v>Não</x:v>
      </x:c>
      <x:c r="N55" s="21" t="str">
        <x:v>Não</x:v>
      </x:c>
      <x:c r="O55" s="21" t="str"/>
      <x:c r="P55" s="21" t="str"/>
      <x:c r="Q55" s="21" t="str">
        <x:v>Não se aplica</x:v>
      </x:c>
      <x:c r="R55" s="19" t="str">
        <x:v>Comparação única para esta dupla de composições.</x:v>
      </x:c>
      <x:c r="S55" s="19" t="str"/>
    </x:row>
    <x:row r="60">
      <x:c r="U60" s="66" t="str">
        <x:v>Contagem bruta das 52 linhas: inclui repetições planejadas e casos em que condições diferentes produziram a mesma composição.</x:v>
      </x:c>
      <x:c r="V60" s="67" t="str">
        <x:v>Contagem bruta das 52 linhas: inclui repetições planejadas e casos em que condições diferentes produziram a mesma composição.</x:v>
      </x:c>
      <x:c r="W60" s="67" t="str">
        <x:v>Contagem bruta das 52 linhas: inclui repetições planejadas e casos em que condições diferentes produziram a mesma composição.</x:v>
      </x:c>
      <x:c r="X60" s="67" t="str">
        <x:v>Contagem bruta das 52 linhas: inclui repetições planejadas e casos em que condições diferentes produziram a mesma composição.</x:v>
      </x:c>
      <x:c r="Y60" s="67" t="str">
        <x:v>Contagem bruta das 52 linhas: inclui repetições planejadas e casos em que condições diferentes produziram a mesma composição.</x:v>
      </x:c>
      <x:c r="Z60" s="68" t="str">
        <x:v>Contagem bruta das 52 linhas: inclui repetições planejadas e casos em que condições diferentes produziram a mesma composição.</x:v>
      </x:c>
    </x:row>
    <x:row r="61">
      <x:c r="U61" s="69" t="str">
        <x:v>Contagem bruta das 52 linhas: inclui repetições planejadas e casos em que condições diferentes produziram a mesma composição.</x:v>
      </x:c>
      <x:c r="V61" s="70" t="str">
        <x:v>Contagem bruta das 52 linhas: inclui repetições planejadas e casos em que condições diferentes produziram a mesma composição.</x:v>
      </x:c>
      <x:c r="W61" s="70" t="str">
        <x:v>Contagem bruta das 52 linhas: inclui repetições planejadas e casos em que condições diferentes produziram a mesma composição.</x:v>
      </x:c>
      <x:c r="X61" s="70" t="str">
        <x:v>Contagem bruta das 52 linhas: inclui repetições planejadas e casos em que condições diferentes produziram a mesma composição.</x:v>
      </x:c>
      <x:c r="Y61" s="70" t="str">
        <x:v>Contagem bruta das 52 linhas: inclui repetições planejadas e casos em que condições diferentes produziram a mesma composição.</x:v>
      </x:c>
      <x:c r="Z61" s="71" t="str">
        <x:v>Contagem bruta das 52 linhas: inclui repetições planejadas e casos em que condições diferentes produziram a mesma composição.</x:v>
      </x:c>
    </x:row>
  </x:sheetData>
  <x:mergeCells>
    <x:mergeCell ref="A1:S1"/>
    <x:mergeCell ref="A2:S2"/>
    <x:mergeCell ref="U1:W1"/>
    <x:mergeCell ref="U8:W8"/>
    <x:mergeCell ref="U17:W18"/>
    <x:mergeCell ref="U20:Z20"/>
    <x:mergeCell ref="U34:Z36"/>
    <x:mergeCell ref="U38:X38"/>
    <x:mergeCell ref="U60:Z61"/>
  </x:mergeCells>
  <x:conditionalFormatting sqref="L4:L55">
    <x:cfRule type="containsText" dxfId="0" priority="1" operator="containsText" text="GA calibrado"/>
    <x:cfRule type="containsText" dxfId="1" priority="2" operator="containsText" text="Equipe histórica"/>
    <x:cfRule type="containsText" dxfId="2" priority="3" operator="containsText" text="LLM"/>
    <x:cfRule type="containsText" dxfId="3" priority="4" operator="containsText" text="GA uniforme"/>
  </x:conditionalFormatting>
  <x:conditionalFormatting sqref="Q4:Q55">
    <x:cfRule type="containsText" dxfId="4" priority="5" operator="containsText" text="Inconsistente"/>
    <x:cfRule type="containsText" dxfId="5" priority="6" operator="containsText" text="Consistente"/>
    <x:cfRule type="containsText" dxfId="6" priority="7" operator="containsText" text="Incompleto"/>
  </x:conditionalFormatting>
  <x:conditionalFormatting sqref="X22:X31">
    <x:cfRule type="containsText" dxfId="7" priority="8" operator="containsText" text="Inconsistente"/>
    <x:cfRule type="containsText" dxfId="8" priority="9" operator="containsText" text="Consistente"/>
    <x:cfRule type="containsText" dxfId="9" priority="10" operator="containsText" text="Incompleto"/>
  </x:conditionalFormatting>
  <x:pageMargins left="0.7" right="0.7" top="0.75" bottom="0.75" header="0.3" footer="0.3"/>
  <x:drawing xmlns:r="http://schemas.openxmlformats.org/officeDocument/2006/relationships" r:id="Ra8dd081057ab423e"/>
  <x:tableParts count="1">
    <x:tablePart xmlns:r="http://schemas.openxmlformats.org/officeDocument/2006/relationships" r:id="R34cd44abfda441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48" hidden="0" customWidth="1"/>
    <x:col min="5" max="5" width="24" hidden="0" customWidth="1"/>
    <x:col min="6" max="6" width="24" hidden="0" customWidth="1"/>
    <x:col min="7" max="7" width="48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4" t="str">
        <x:v>Aceitabilidade das equipes do GA calibrado</x:v>
      </x:c>
      <x:c r="B1" s="4" t="str">
        <x:v>Aceitabilidade das equipes do GA calibrado</x:v>
      </x:c>
      <x:c r="C1" s="4" t="str">
        <x:v>Aceitabilidade das equipes do GA calibrado</x:v>
      </x:c>
      <x:c r="D1" s="4" t="str">
        <x:v>Aceitabilidade das equipes do GA calibrado</x:v>
      </x:c>
      <x:c r="E1" s="4" t="str">
        <x:v>Aceitabilidade das equipes do GA calibrado</x:v>
      </x:c>
      <x:c r="F1" s="4" t="str">
        <x:v>Aceitabilidade das equipes do GA calibrado</x:v>
      </x:c>
      <x:c r="G1" s="4" t="str">
        <x:v>Aceitabilidade das equipes do GA calibrado</x:v>
      </x:c>
      <x:c r="H1" s="4" t="str">
        <x:v>Aceitabilidade das equipes do GA calibrado</x:v>
      </x:c>
      <x:c r="I1" s="4" t="str">
        <x:v>Aceitabilidade das equipes do GA calibrado</x:v>
      </x:c>
      <x:c r="J1" s="4" t="str">
        <x:v>Aceitabilidade das equipes do GA calibrado</x:v>
      </x:c>
      <x:c r="K1" s="4" t="str">
        <x:v>Aceitabilidade das equipes do GA calibrado</x:v>
      </x:c>
      <x:c r="L1" s="4" t="str">
        <x:v>Aceitabilidade das equipes do GA calibrado</x:v>
      </x:c>
      <x:c r="M1" s="4" t="str">
        <x:v>Aceitabilidade das equipes do GA calibrado</x:v>
      </x:c>
    </x:row>
    <x:row r="2">
      <x:c r="A2" s="7" t="str">
        <x:v>Avaliação isolada das 16 equipes do GA calibrado: uso como está, uso com ajustes, rejeição ou ausência de resposta.</x:v>
      </x:c>
      <x:c r="B2" s="7" t="str">
        <x:v>Avaliação isolada das 16 equipes do GA calibrado: uso como está, uso com ajustes, rejeição ou ausência de resposta.</x:v>
      </x:c>
      <x:c r="C2" s="7" t="str">
        <x:v>Avaliação isolada das 16 equipes do GA calibrado: uso como está, uso com ajustes, rejeição ou ausência de resposta.</x:v>
      </x:c>
      <x:c r="D2" s="7" t="str">
        <x:v>Avaliação isolada das 16 equipes do GA calibrado: uso como está, uso com ajustes, rejeição ou ausência de resposta.</x:v>
      </x:c>
      <x:c r="E2" s="7" t="str">
        <x:v>Avaliação isolada das 16 equipes do GA calibrado: uso como está, uso com ajustes, rejeição ou ausência de resposta.</x:v>
      </x:c>
      <x:c r="F2" s="7" t="str">
        <x:v>Avaliação isolada das 16 equipes do GA calibrado: uso como está, uso com ajustes, rejeição ou ausência de resposta.</x:v>
      </x:c>
      <x:c r="G2" s="7" t="str">
        <x:v>Avaliação isolada das 16 equipes do GA calibrado: uso como está, uso com ajustes, rejeição ou ausência de resposta.</x:v>
      </x:c>
      <x:c r="H2" s="7" t="str">
        <x:v>Avaliação isolada das 16 equipes do GA calibrado: uso como está, uso com ajustes, rejeição ou ausência de resposta.</x:v>
      </x:c>
      <x:c r="I2" s="7" t="str">
        <x:v>Avaliação isolada das 16 equipes do GA calibrado: uso como está, uso com ajustes, rejeição ou ausência de resposta.</x:v>
      </x:c>
      <x:c r="J2" s="7" t="str">
        <x:v>Avaliação isolada das 16 equipes do GA calibrado: uso como está, uso com ajustes, rejeição ou ausência de resposta.</x:v>
      </x:c>
      <x:c r="K2" s="7" t="str">
        <x:v>Avaliação isolada das 16 equipes do GA calibrado: uso como está, uso com ajustes, rejeição ou ausência de resposta.</x:v>
      </x:c>
      <x:c r="L2" s="7" t="str">
        <x:v>Avaliação isolada das 16 equipes do GA calibrado: uso como está, uso com ajustes, rejeição ou ausência de resposta.</x:v>
      </x:c>
      <x:c r="M2" s="7" t="str">
        <x:v>Avaliação isolada das 16 equipes do GA calibrado: uso como está, uso com ajustes, rejeição ou ausência de resposta.</x:v>
      </x:c>
    </x:row>
    <x:row r="4" ht="34" customHeight="1">
      <x:c r="A4" s="24" t="str">
        <x:v>Resumo</x:v>
      </x:c>
      <x:c r="B4" s="24" t="str">
        <x:v>Resumo</x:v>
      </x:c>
      <x:c r="D4" s="12" t="str">
        <x:v>Resultado</x:v>
      </x:c>
      <x:c r="E4" s="12" t="str">
        <x:v>Quantidade</x:v>
      </x:c>
    </x:row>
    <x:row r="5">
      <x:c r="A5" s="28" t="str">
        <x:v>Equipes avaliadas</x:v>
      </x:c>
      <x:c r="B5" s="31" t="n">
        <x:v>16</x:v>
      </x:c>
      <x:c r="D5" s="26" t="str">
        <x:v>Aceita como está</x:v>
      </x:c>
      <x:c r="E5" s="26" t="n">
        <x:v>9</x:v>
      </x:c>
    </x:row>
    <x:row r="6">
      <x:c r="A6" s="28" t="str">
        <x:v>Respondidas</x:v>
      </x:c>
      <x:c r="B6" s="31" t="n">
        <x:v>15</x:v>
      </x:c>
      <x:c r="D6" s="26" t="str">
        <x:v>Aceita com ajustes</x:v>
      </x:c>
      <x:c r="E6" s="26" t="n">
        <x:v>3</x:v>
      </x:c>
    </x:row>
    <x:row r="7">
      <x:c r="A7" s="28" t="str">
        <x:v>Aceitas no total</x:v>
      </x:c>
      <x:c r="B7" s="31" t="n">
        <x:v>12</x:v>
      </x:c>
      <x:c r="D7" s="26" t="str">
        <x:v>Não aceita</x:v>
      </x:c>
      <x:c r="E7" s="26" t="n">
        <x:v>3</x:v>
      </x:c>
    </x:row>
    <x:row r="8">
      <x:c r="A8" s="28" t="str">
        <x:v>Aceita como está</x:v>
      </x:c>
      <x:c r="B8" s="31" t="n">
        <x:v>9</x:v>
      </x:c>
      <x:c r="D8" s="26" t="str">
        <x:v>Sem resposta</x:v>
      </x:c>
      <x:c r="E8" s="26" t="n">
        <x:v>1</x:v>
      </x:c>
    </x:row>
    <x:row r="9">
      <x:c r="A9" s="28" t="str">
        <x:v>Aceita com ajustes</x:v>
      </x:c>
      <x:c r="B9" s="31" t="n">
        <x:v>3</x:v>
      </x:c>
    </x:row>
    <x:row r="10">
      <x:c r="A10" s="28" t="str">
        <x:v>Não aceita</x:v>
      </x:c>
      <x:c r="B10" s="31" t="n">
        <x:v>3</x:v>
      </x:c>
    </x:row>
    <x:row r="11">
      <x:c r="A11" s="28" t="str">
        <x:v>Sem resposta</x:v>
      </x:c>
      <x:c r="B11" s="31" t="n">
        <x:v>1</x:v>
      </x:c>
    </x:row>
    <x:row r="12">
      <x:c r="A12" s="28" t="str">
        <x:v>Aceitação entre respondidas</x:v>
      </x:c>
      <x:c r="B12" s="88" t="n">
        <x:v>0.8</x:v>
      </x:c>
    </x:row>
    <x:row r="15" ht="22" customHeight="1">
      <x:c r="A15" s="24" t="str">
        <x:v>Respostas por equipe</x:v>
      </x:c>
      <x:c r="B15" s="24" t="str">
        <x:v>Respostas por equipe</x:v>
      </x:c>
      <x:c r="C15" s="24" t="str">
        <x:v>Respostas por equipe</x:v>
      </x:c>
      <x:c r="D15" s="24" t="str">
        <x:v>Respostas por equipe</x:v>
      </x:c>
      <x:c r="E15" s="24" t="str">
        <x:v>Respostas por equipe</x:v>
      </x:c>
      <x:c r="F15" s="24" t="str">
        <x:v>Respostas por equipe</x:v>
      </x:c>
      <x:c r="G15" s="24" t="str">
        <x:v>Respostas por equipe</x:v>
      </x:c>
    </x:row>
    <x:row r="16" ht="34" customHeight="1">
      <x:c r="A16" s="12" t="str">
        <x:v>ID</x:v>
      </x:c>
      <x:c r="B16" s="12" t="str">
        <x:v>Projeto</x:v>
      </x:c>
      <x:c r="C16" s="12" t="str">
        <x:v>Equipe</x:v>
      </x:c>
      <x:c r="D16" s="12" t="str">
        <x:v>Integrantes</x:v>
      </x:c>
      <x:c r="E16" s="12" t="str">
        <x:v>Resposta original</x:v>
      </x:c>
      <x:c r="F16" s="12" t="str">
        <x:v>Status normalizado</x:v>
      </x:c>
      <x:c r="G16" s="12" t="str">
        <x:v>Alteração solicitada</x:v>
      </x:c>
    </x:row>
    <x:row r="17" ht="38" customHeight="1">
      <x:c r="A17" s="51" t="str">
        <x:v>A001</x:v>
      </x:c>
      <x:c r="B17" s="51" t="str">
        <x:v>P5</x:v>
      </x:c>
      <x:c r="C17" s="51" t="str">
        <x:v>T-2822</x:v>
      </x:c>
      <x:c r="D17" s="51" t="str">
        <x:v>Nilo-467, Lara-415, Ravi-398, Mel-316</x:v>
      </x:c>
      <x:c r="E17" s="51" t="str">
        <x:v>Yes</x:v>
      </x:c>
      <x:c r="F17" s="51" t="str">
        <x:v>Aceita como está</x:v>
      </x:c>
      <x:c r="G17" s="51" t="str"/>
    </x:row>
    <x:row r="18" ht="38" customHeight="1">
      <x:c r="A18" s="51" t="str">
        <x:v>A002</x:v>
      </x:c>
      <x:c r="B18" s="51" t="str">
        <x:v>P6</x:v>
      </x:c>
      <x:c r="C18" s="51" t="str">
        <x:v>T-4412</x:v>
      </x:c>
      <x:c r="D18" s="51" t="str">
        <x:v>Mia-382, Gabi-94, Nilo-402, Tom-183, Davi-290, Ceci-363, Gabi-484</x:v>
      </x:c>
      <x:c r="E18" s="51" t="str">
        <x:v>Yes</x:v>
      </x:c>
      <x:c r="F18" s="51" t="str">
        <x:v>Aceita como está</x:v>
      </x:c>
      <x:c r="G18" s="51" t="str"/>
    </x:row>
    <x:row r="19" ht="38" customHeight="1">
      <x:c r="A19" s="51" t="str">
        <x:v>A003</x:v>
      </x:c>
      <x:c r="B19" s="51" t="str">
        <x:v>P12</x:v>
      </x:c>
      <x:c r="C19" s="51" t="str">
        <x:v>T-8599</x:v>
      </x:c>
      <x:c r="D19" s="51" t="str">
        <x:v>Ravi-398, Lara-415, Nilo-467, Bia-458</x:v>
      </x:c>
      <x:c r="E19" s="51" t="str"/>
      <x:c r="F19" s="51" t="str">
        <x:v>Sem resposta</x:v>
      </x:c>
      <x:c r="G19" s="51" t="str"/>
    </x:row>
    <x:row r="20" ht="38" customHeight="1">
      <x:c r="A20" s="51" t="str">
        <x:v>A004</x:v>
      </x:c>
      <x:c r="B20" s="51" t="str">
        <x:v>P1</x:v>
      </x:c>
      <x:c r="C20" s="51" t="str">
        <x:v>T-6473</x:v>
      </x:c>
      <x:c r="D20" s="51" t="str">
        <x:v>Luiz-324, Rosa-359, Ana-448, Jade-305, Gael-170, Hugo-543, Eli-503, Ana-578, Lara-220</x:v>
      </x:c>
      <x:c r="E20" s="51" t="str">
        <x:v>Yes</x:v>
      </x:c>
      <x:c r="F20" s="51" t="str">
        <x:v>Aceita como está</x:v>
      </x:c>
      <x:c r="G20" s="51" t="str"/>
    </x:row>
    <x:row r="21" ht="38" customHeight="1">
      <x:c r="A21" s="51" t="str">
        <x:v>A005</x:v>
      </x:c>
      <x:c r="B21" s="51" t="str">
        <x:v>P3</x:v>
      </x:c>
      <x:c r="C21" s="51" t="str">
        <x:v>T-6676</x:v>
      </x:c>
      <x:c r="D21" s="51" t="str">
        <x:v>Lara-415, Jade-370, Enzo-282, Leo-336, Iris-211</x:v>
      </x:c>
      <x:c r="E21" s="51" t="str">
        <x:v>Yes</x:v>
      </x:c>
      <x:c r="F21" s="51" t="str">
        <x:v>Aceita como está</x:v>
      </x:c>
      <x:c r="G21" s="51" t="str"/>
    </x:row>
    <x:row r="22" ht="38" customHeight="1">
      <x:c r="A22" s="51" t="str">
        <x:v>A006</x:v>
      </x:c>
      <x:c r="B22" s="51" t="str">
        <x:v>P9</x:v>
      </x:c>
      <x:c r="C22" s="51" t="str">
        <x:v>T-1384</x:v>
      </x:c>
      <x:c r="D22" s="51" t="str">
        <x:v>Davi-290, Mia-382, Gael-560, Teo-647, Gabi-484, Gabi-94</x:v>
      </x:c>
      <x:c r="E22" s="51" t="str">
        <x:v>No</x:v>
      </x:c>
      <x:c r="F22" s="51" t="str">
        <x:v>Não aceita</x:v>
      </x:c>
      <x:c r="G22" s="51" t="str">
        <x:v>Trocaria algume que tivesse o conhecimento tecnico necessario</x:v>
      </x:c>
    </x:row>
    <x:row r="23" ht="38" customHeight="1">
      <x:c r="A23" s="51" t="str">
        <x:v>A007</x:v>
      </x:c>
      <x:c r="B23" s="51" t="str">
        <x:v>P7</x:v>
      </x:c>
      <x:c r="C23" s="51" t="str">
        <x:v>T-8765</x:v>
      </x:c>
      <x:c r="D23" s="51" t="str">
        <x:v>Iris-81, Jade-370, Lara-415, Enzo-282, Leo-336</x:v>
      </x:c>
      <x:c r="E23" s="51" t="str">
        <x:v>Yes</x:v>
      </x:c>
      <x:c r="F23" s="51" t="str">
        <x:v>Aceita como está</x:v>
      </x:c>
      <x:c r="G23" s="51" t="str"/>
    </x:row>
    <x:row r="24" ht="38" customHeight="1">
      <x:c r="A24" s="51" t="str">
        <x:v>A008</x:v>
      </x:c>
      <x:c r="B24" s="51" t="str">
        <x:v>P11</x:v>
      </x:c>
      <x:c r="C24" s="51" t="str">
        <x:v>T-2548</x:v>
      </x:c>
      <x:c r="D24" s="51" t="str">
        <x:v>Ari-437, Jo-583, Nilo-467, Leo-336, Miro-498, Bia-458, Mia-317, Lara-415, Enzo-282</x:v>
      </x:c>
      <x:c r="E24" s="51" t="str">
        <x:v>Yes with minor changes</x:v>
      </x:c>
      <x:c r="F24" s="51" t="str">
        <x:v>Aceita com ajustes</x:v>
      </x:c>
      <x:c r="G24" s="51" t="str"/>
    </x:row>
    <x:row r="25" ht="38" customHeight="1">
      <x:c r="A25" s="51" t="str">
        <x:v>A009</x:v>
      </x:c>
      <x:c r="B25" s="51" t="str">
        <x:v>P8</x:v>
      </x:c>
      <x:c r="C25" s="51" t="str">
        <x:v>T-1457</x:v>
      </x:c>
      <x:c r="D25" s="51" t="str">
        <x:v>Jade-370, Ravi-398, Lara-415, Leo-336, Iris-81</x:v>
      </x:c>
      <x:c r="E25" s="51" t="str">
        <x:v>Yes</x:v>
      </x:c>
      <x:c r="F25" s="51" t="str">
        <x:v>Aceita como está</x:v>
      </x:c>
      <x:c r="G25" s="51" t="str"/>
    </x:row>
    <x:row r="26" ht="38" customHeight="1">
      <x:c r="A26" s="51" t="str">
        <x:v>A010</x:v>
      </x:c>
      <x:c r="B26" s="51" t="str">
        <x:v>P2</x:v>
      </x:c>
      <x:c r="C26" s="51" t="str">
        <x:v>T-4526</x:v>
      </x:c>
      <x:c r="D26" s="51" t="str">
        <x:v>Nina-7, Davi-290, Gabi-484, Raul-33, Gabi-94, Gael-560, Mia-447, Nina-397</x:v>
      </x:c>
      <x:c r="E26" s="51" t="str">
        <x:v>No</x:v>
      </x:c>
      <x:c r="F26" s="51" t="str">
        <x:v>Não aceita</x:v>
      </x:c>
      <x:c r="G26" s="51" t="str">
        <x:v>Trocaria para 2 membros da equipe, para pessoas com conhecimento mais necessario ao projeto</x:v>
      </x:c>
    </x:row>
    <x:row r="27" ht="38" customHeight="1">
      <x:c r="A27" s="51" t="str">
        <x:v>A011</x:v>
      </x:c>
      <x:c r="B27" s="51" t="str">
        <x:v>P13</x:v>
      </x:c>
      <x:c r="C27" s="51" t="str">
        <x:v>T-1559</x:v>
      </x:c>
      <x:c r="D27" s="51" t="str">
        <x:v>Caio-589, Jo-583, Miro-498, Ivo-720</x:v>
      </x:c>
      <x:c r="E27" s="51" t="str">
        <x:v>Yes</x:v>
      </x:c>
      <x:c r="F27" s="51" t="str">
        <x:v>Aceita como está</x:v>
      </x:c>
      <x:c r="G27" s="51" t="str"/>
    </x:row>
    <x:row r="28" ht="38" customHeight="1">
      <x:c r="A28" s="51" t="str">
        <x:v>A012</x:v>
      </x:c>
      <x:c r="B28" s="51" t="str">
        <x:v>P10</x:v>
      </x:c>
      <x:c r="C28" s="51" t="str">
        <x:v>T-5887</x:v>
      </x:c>
      <x:c r="D28" s="51" t="str">
        <x:v>Davi-615, Teo-257, Enzo-477, Gabi-94, Lino-496, Mia-382, Bela-492, Mila-27</x:v>
      </x:c>
      <x:c r="E28" s="51" t="str">
        <x:v>Yes with minor changes</x:v>
      </x:c>
      <x:c r="F28" s="51" t="str">
        <x:v>Aceita com ajustes</x:v>
      </x:c>
      <x:c r="G28" s="51" t="str"/>
    </x:row>
    <x:row r="29" ht="38" customHeight="1">
      <x:c r="A29" s="51" t="str">
        <x:v>A013</x:v>
      </x:c>
      <x:c r="B29" s="51" t="str">
        <x:v>P15</x:v>
      </x:c>
      <x:c r="C29" s="51" t="str">
        <x:v>T-9656</x:v>
      </x:c>
      <x:c r="D29" s="51" t="str">
        <x:v>Miro-563, Miro-498, Jo-583, Nilo-467, Ian-570</x:v>
      </x:c>
      <x:c r="E29" s="51" t="str">
        <x:v>No</x:v>
      </x:c>
      <x:c r="F29" s="51" t="str">
        <x:v>Não aceita</x:v>
      </x:c>
      <x:c r="G29" s="51" t="str"/>
    </x:row>
    <x:row r="30" ht="38" customHeight="1">
      <x:c r="A30" s="51" t="str">
        <x:v>A014</x:v>
      </x:c>
      <x:c r="B30" s="51" t="str">
        <x:v>P14</x:v>
      </x:c>
      <x:c r="C30" s="51" t="str">
        <x:v>T-2098</x:v>
      </x:c>
      <x:c r="D30" s="51" t="str">
        <x:v>Rosa-359, Lara-220, Ivan-357, Eli-503</x:v>
      </x:c>
      <x:c r="E30" s="51" t="str">
        <x:v>Yes</x:v>
      </x:c>
      <x:c r="F30" s="51" t="str">
        <x:v>Aceita como está</x:v>
      </x:c>
      <x:c r="G30" s="51" t="str"/>
    </x:row>
    <x:row r="31" ht="38" customHeight="1">
      <x:c r="A31" s="51" t="str">
        <x:v>A015</x:v>
      </x:c>
      <x:c r="B31" s="51" t="str">
        <x:v>P4</x:v>
      </x:c>
      <x:c r="C31" s="51" t="str">
        <x:v>T-2703</x:v>
      </x:c>
      <x:c r="D31" s="51" t="str">
        <x:v>Bela-492, Teo-257, Lino-496, Gabi-94, Mia-382, Enzo-477, Mila-27, Jade-500, Davi-615</x:v>
      </x:c>
      <x:c r="E31" s="51" t="str">
        <x:v>Yes</x:v>
      </x:c>
      <x:c r="F31" s="51" t="str">
        <x:v>Aceita como está</x:v>
      </x:c>
      <x:c r="G31" s="51" t="str"/>
    </x:row>
    <x:row r="32" ht="38" customHeight="1">
      <x:c r="A32" s="51" t="str">
        <x:v>A016</x:v>
      </x:c>
      <x:c r="B32" s="51" t="str">
        <x:v>P16</x:v>
      </x:c>
      <x:c r="C32" s="51" t="str">
        <x:v>T-9373</x:v>
      </x:c>
      <x:c r="D32" s="51" t="str">
        <x:v>Mia-317, Iris-81, Mel-316, Nilo-467, Lara-415, Jade-370, Ravi-398, Leo-336, Enzo-282</x:v>
      </x:c>
      <x:c r="E32" s="51" t="str">
        <x:v>Yes with minor changes</x:v>
      </x:c>
      <x:c r="F32" s="51" t="str">
        <x:v>Aceita com ajustes</x:v>
      </x:c>
      <x:c r="G32" s="51" t="str"/>
    </x:row>
    <x:row r="34">
      <x:c r="A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B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C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D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E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F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G34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</x:row>
    <x:row r="35">
      <x:c r="A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B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C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D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E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F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  <x:c r="G35" s="55" t="str">
        <x:v>Fonte: C:\Users\felip\OneDrive\Documentos\validação final expert\[TFP] expert_study_workbook - Acceptability.csv
Nota: o percentual de aceitação usa apenas respostas efetivamente fornecidas; campos vazios permanecem pendentes.</x:v>
      </x:c>
    </x:row>
  </x:sheetData>
  <x:mergeCells>
    <x:mergeCell ref="A1:M1"/>
    <x:mergeCell ref="A2:M2"/>
    <x:mergeCell ref="A4:B4"/>
    <x:mergeCell ref="A15:G15"/>
    <x:mergeCell ref="A34:G35"/>
  </x:mergeCells>
  <x:conditionalFormatting sqref="F17:F32">
    <x:cfRule type="containsText" dxfId="13" priority="1" operator="containsText" text="Aceita como está"/>
    <x:cfRule type="containsText" dxfId="14" priority="2" operator="containsText" text="Aceita com ajustes"/>
    <x:cfRule type="containsText" dxfId="15" priority="3" operator="containsText" text="Não aceita"/>
    <x:cfRule type="containsText" dxfId="16" priority="4" operator="containsText" text="Sem resposta"/>
  </x:conditionalFormatting>
  <x:pageMargins left="0.7" right="0.7" top="0.75" bottom="0.75" header="0.3" footer="0.3"/>
  <x:drawing xmlns:r="http://schemas.openxmlformats.org/officeDocument/2006/relationships" r:id="Rae25b878ad1e4f4e"/>
  <x:tableParts count="1">
    <x:tablePart xmlns:r="http://schemas.openxmlformats.org/officeDocument/2006/relationships" r:id="Rf50ae4c8be394e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42" hidden="0" customWidth="1"/>
    <x:col min="5" max="5" width="42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4" hidden="0" customWidth="1"/>
  </x:cols>
  <x:sheetData>
    <x:row r="1" ht="30" customHeight="1">
      <x:c r="A1" s="4" t="str">
        <x:v>Principais achados — BN × surrogate e consistência da validação</x:v>
      </x:c>
      <x:c r="B1" s="4" t="str">
        <x:v>Principais achados — BN × surrogate e consistência da validação</x:v>
      </x:c>
      <x:c r="C1" s="4" t="str">
        <x:v>Principais achados — BN × surrogate e consistência da validação</x:v>
      </x:c>
      <x:c r="D1" s="4" t="str">
        <x:v>Principais achados — BN × surrogate e consistência da validação</x:v>
      </x:c>
      <x:c r="E1" s="4" t="str">
        <x:v>Principais achados — BN × surrogate e consistência da validação</x:v>
      </x:c>
      <x:c r="F1" s="4" t="str">
        <x:v>Principais achados — BN × surrogate e consistência da validação</x:v>
      </x:c>
      <x:c r="G1" s="4" t="str">
        <x:v>Principais achados — BN × surrogate e consistência da validação</x:v>
      </x:c>
      <x:c r="H1" s="4" t="str">
        <x:v>Principais achados — BN × surrogate e consistência da validação</x:v>
      </x:c>
      <x:c r="I1" s="4" t="str">
        <x:v>Principais achados — BN × surrogate e consistência da validação</x:v>
      </x:c>
      <x:c r="J1" s="4" t="str">
        <x:v>Principais achados — BN × surrogate e consistência da validação</x:v>
      </x:c>
      <x:c r="K1" s="4" t="str">
        <x:v>Principais achados — BN × surrogate e consistência da validação</x:v>
      </x:c>
      <x:c r="L1" s="4" t="str">
        <x:v>Principais achados — BN × surrogate e consistência da validação</x:v>
      </x:c>
    </x:row>
    <x:row r="2">
      <x:c r="A2" s="7" t="str">
        <x:v>Comparação pareada do mesmo GA usando o avaliador exato da BN ou a surrogate; as equipes finais de ambos os lados foram novamente julgadas pela BN.</x:v>
      </x:c>
      <x:c r="B2" s="7" t="str">
        <x:v>Comparação pareada do mesmo GA usando o avaliador exato da BN ou a surrogate; as equipes finais de ambos os lados foram novamente julgadas pela BN.</x:v>
      </x:c>
      <x:c r="C2" s="7" t="str">
        <x:v>Comparação pareada do mesmo GA usando o avaliador exato da BN ou a surrogate; as equipes finais de ambos os lados foram novamente julgadas pela BN.</x:v>
      </x:c>
      <x:c r="D2" s="7" t="str">
        <x:v>Comparação pareada do mesmo GA usando o avaliador exato da BN ou a surrogate; as equipes finais de ambos os lados foram novamente julgadas pela BN.</x:v>
      </x:c>
      <x:c r="E2" s="7" t="str">
        <x:v>Comparação pareada do mesmo GA usando o avaliador exato da BN ou a surrogate; as equipes finais de ambos os lados foram novamente julgadas pela BN.</x:v>
      </x:c>
      <x:c r="F2" s="7" t="str">
        <x:v>Comparação pareada do mesmo GA usando o avaliador exato da BN ou a surrogate; as equipes finais de ambos os lados foram novamente julgadas pela BN.</x:v>
      </x:c>
      <x:c r="G2" s="7" t="str">
        <x:v>Comparação pareada do mesmo GA usando o avaliador exato da BN ou a surrogate; as equipes finais de ambos os lados foram novamente julgadas pela BN.</x:v>
      </x:c>
      <x:c r="H2" s="7" t="str">
        <x:v>Comparação pareada do mesmo GA usando o avaliador exato da BN ou a surrogate; as equipes finais de ambos os lados foram novamente julgadas pela BN.</x:v>
      </x:c>
      <x:c r="I2" s="7" t="str">
        <x:v>Comparação pareada do mesmo GA usando o avaliador exato da BN ou a surrogate; as equipes finais de ambos os lados foram novamente julgadas pela BN.</x:v>
      </x:c>
      <x:c r="J2" s="7" t="str">
        <x:v>Comparação pareada do mesmo GA usando o avaliador exato da BN ou a surrogate; as equipes finais de ambos os lados foram novamente julgadas pela BN.</x:v>
      </x:c>
      <x:c r="K2" s="7" t="str">
        <x:v>Comparação pareada do mesmo GA usando o avaliador exato da BN ou a surrogate; as equipes finais de ambos os lados foram novamente julgadas pela BN.</x:v>
      </x:c>
      <x:c r="L2" s="7" t="str">
        <x:v>Comparação pareada do mesmo GA usando o avaliador exato da BN ou a surrogate; as equipes finais de ambos os lados foram novamente julgadas pela BN.</x:v>
      </x:c>
    </x:row>
    <x:row r="4" ht="34" customHeight="1">
      <x:c r="A4" s="24" t="str">
        <x:v>Resumo do experimento de degradação</x:v>
      </x:c>
      <x:c r="B4" s="24" t="str">
        <x:v>Resumo do experimento de degradação</x:v>
      </x:c>
      <x:c r="C4" s="24" t="str">
        <x:v>Resumo do experimento de degradação</x:v>
      </x:c>
      <x:c r="D4" s="24" t="str">
        <x:v>Resumo do experimento de degradação</x:v>
      </x:c>
      <x:c r="E4" s="24" t="str">
        <x:v>Resumo do experimento de degradação</x:v>
      </x:c>
      <x:c r="F4" s="24" t="str">
        <x:v>Resumo do experimento de degradação</x:v>
      </x:c>
      <x:c r="G4" s="24" t="str">
        <x:v>Resumo do experimento de degradação</x:v>
      </x:c>
      <x:c r="H4" s="24" t="str">
        <x:v>Resumo do experimento de degradação</x:v>
      </x:c>
      <x:c r="J4" s="12" t="str">
        <x:v>Resultado sob a BN</x:v>
      </x:c>
      <x:c r="K4" s="12" t="str">
        <x:v>Pares</x:v>
      </x:c>
    </x:row>
    <x:row r="5" ht="34" customHeight="1">
      <x:c r="A5" s="75" t="str">
        <x:v>Execuções do GA</x:v>
      </x:c>
      <x:c r="B5" s="76" t="n">
        <x:v>960</x:v>
      </x:c>
      <x:c r="C5" s="75" t="str">
        <x:v>Comparações pareadas</x:v>
      </x:c>
      <x:c r="D5" s="76" t="n">
        <x:v>480</x:v>
      </x:c>
      <x:c r="E5" s="75" t="str">
        <x:v>Projetos</x:v>
      </x:c>
      <x:c r="F5" s="76" t="n">
        <x:v>16</x:v>
      </x:c>
      <x:c r="G5" s="75" t="str">
        <x:v>MUST válidos</x:v>
      </x:c>
      <x:c r="H5" s="76" t="n">
        <x:v>960</x:v>
      </x:c>
      <x:c r="J5" t="str">
        <x:v>BN superior</x:v>
      </x:c>
      <x:c r="K5" t="n">
        <x:v>94</x:v>
      </x:c>
    </x:row>
    <x:row r="6" ht="34" customHeight="1">
      <x:c r="A6" s="75" t="str">
        <x:v>Delta médio BN − surrogate</x:v>
      </x:c>
      <x:c r="B6" s="77" t="n">
        <x:v>-0.015060660772273403</x:v>
      </x:c>
      <x:c r="C6" s="75" t="str">
        <x:v>IC95% (bootstrap por projeto)</x:v>
      </x:c>
      <x:c r="D6" s="76" t="str">
        <x:v>-0.026653 a -0.005042</x:v>
      </x:c>
      <x:c r="E6" s="75" t="str">
        <x:v>|Delta| médio</x:v>
      </x:c>
      <x:c r="F6" s="77" t="n">
        <x:v>0.023148998764588476</x:v>
      </x:c>
      <x:c r="G6" s="78" t="str">
        <x:v>|Delta| mediano</x:v>
      </x:c>
      <x:c r="H6" s="77" t="n">
        <x:v>0.006612278678481465</x:v>
      </x:c>
      <x:c r="J6" t="str">
        <x:v>Surrogate superior</x:v>
      </x:c>
      <x:c r="K6" t="n">
        <x:v>171</x:v>
      </x:c>
    </x:row>
    <x:row r="7" ht="34" customHeight="1">
      <x:c r="A7" s="75" t="str">
        <x:v>BN superior</x:v>
      </x:c>
      <x:c r="B7" s="76" t="n">
        <x:v>94</x:v>
      </x:c>
      <x:c r="C7" s="75" t="str">
        <x:v>Surrogate superior</x:v>
      </x:c>
      <x:c r="D7" s="76" t="n">
        <x:v>171</x:v>
      </x:c>
      <x:c r="E7" s="75" t="str">
        <x:v>Empates</x:v>
      </x:c>
      <x:c r="F7" s="76" t="n">
        <x:v>215</x:v>
      </x:c>
      <x:c r="G7" s="75" t="str">
        <x:v>Dentro de 0,05</x:v>
      </x:c>
      <x:c r="H7" s="76" t="n">
        <x:v>438</x:v>
      </x:c>
      <x:c r="J7" t="str">
        <x:v>Empate</x:v>
      </x:c>
      <x:c r="K7" t="n">
        <x:v>215</x:v>
      </x:c>
    </x:row>
    <x:row r="8" ht="34" customHeight="1">
      <x:c r="A8" s="75" t="str">
        <x:v>Equipes exatamente iguais</x:v>
      </x:c>
      <x:c r="B8" s="76" t="n">
        <x:v>0</x:v>
      </x:c>
      <x:c r="C8" s="75" t="str">
        <x:v>Jaccard médio</x:v>
      </x:c>
      <x:c r="D8" s="79" t="n">
        <x:v>0.1090431651001504</x:v>
      </x:c>
      <x:c r="E8" s="80" t="str">
        <x:v>Sobreposição média</x:v>
      </x:c>
      <x:c r="F8" s="79" t="n">
        <x:v>0.1741592261904762</x:v>
      </x:c>
      <x:c r="G8" s="75" t="str">
        <x:v>Dentro de 0,05 (%)</x:v>
      </x:c>
      <x:c r="H8" s="81" t="n">
        <x:v>0.9125</x:v>
      </x:c>
    </x:row>
    <x:row r="10" ht="22" customHeight="1">
      <x:c r="A10" s="24" t="str">
        <x:v>Leitura principal</x:v>
      </x:c>
      <x:c r="B10" s="24" t="str">
        <x:v>Leitura principal</x:v>
      </x:c>
      <x:c r="C10" s="24" t="str">
        <x:v>Leitura principal</x:v>
      </x:c>
      <x:c r="D10" s="24" t="str">
        <x:v>Leitura principal</x:v>
      </x:c>
      <x:c r="E10" s="24" t="str">
        <x:v>Leitura principal</x:v>
      </x:c>
      <x:c r="F10" s="24" t="str">
        <x:v>Leitura principal</x:v>
      </x:c>
      <x:c r="G10" s="24" t="str">
        <x:v>Leitura principal</x:v>
      </x:c>
      <x:c r="H10" s="24" t="str">
        <x:v>Leitura principal</x:v>
      </x:c>
    </x:row>
    <x:row r="11" ht="34" customHeight="1">
      <x:c r="A11" s="12" t="str">
        <x:v>Achado</x:v>
      </x:c>
      <x:c r="B11" s="12" t="str">
        <x:v>Evidência</x:v>
      </x:c>
      <x:c r="C11" s="12" t="str">
        <x:v>Interpretação</x:v>
      </x:c>
      <x:c r="D11" s="12" t="str">
        <x:v>Limite da afirmação</x:v>
      </x:c>
    </x:row>
    <x:row r="12" ht="70" customHeight="1">
      <x:c r="A12" s="83" t="str">
        <x:v>Ausência de degradação média observada</x:v>
      </x:c>
      <x:c r="B12" s="51" t="str">
        <x:v>Delta médio BN − surrogate = −0,015061; IC95% = [−0,026653; −0,005042].</x:v>
      </x:c>
      <x:c r="C12" s="51" t="str">
        <x:v>Como o delta é BN(equipe do GA-BN) − BN(equipe do GA-surrogate), o sinal negativo favorece, em média, as equipes encontradas com a surrogate quando ambas são julgadas pela BN.</x:v>
      </x:c>
      <x:c r="D12" s="51" t="str">
        <x:v>Não prova superioridade real nem equivalência ponto a ponto entre os avaliadores.</x:v>
      </x:c>
    </x:row>
    <x:row r="13" ht="70" customHeight="1">
      <x:c r="A13" s="83" t="str">
        <x:v>Qualidade final próxima na maioria</x:v>
      </x:c>
      <x:c r="B13" s="51" t="str">
        <x:v>438/480 pares (91.25%) ficaram a até 0,05 de diferença; mediana de |delta| = 0.006612.</x:v>
      </x:c>
      <x:c r="C13" s="51" t="str">
        <x:v>A substituição pela surrogate preservou proximidade prática do escore final da BN na maior parte das execuções.</x:v>
      </x:c>
      <x:c r="D13" s="51" t="str">
        <x:v>O limiar 0,05 é uma interpretação prática e deve ser declarado como tal.</x:v>
      </x:c>
    </x:row>
    <x:row r="14" ht="70" customHeight="1">
      <x:c r="A14" s="83" t="str">
        <x:v>Composições diferentes</x:v>
      </x:c>
      <x:c r="B14" s="51" t="str">
        <x:v>0/480 rosters exatamente iguais; Jaccard médio = 0.109.</x:v>
      </x:c>
      <x:c r="C14" s="51" t="str">
        <x:v>A preservação observada é de qualidade de escore, não de identidade dos integrantes.</x:v>
      </x:c>
      <x:c r="D14" s="51" t="str">
        <x:v>Diferentes equipes podem ocupar platôs iguais ou próximos da BN.</x:v>
      </x:c>
    </x:row>
    <x:row r="15" ht="70" customHeight="1">
      <x:c r="A15" s="83" t="str">
        <x:v>Factibilidade técnica preservada</x:v>
      </x:c>
      <x:c r="B15" s="51" t="str">
        <x:v>960/960 execuções concluíram com status OK e todas satisfizeram MUST.</x:v>
      </x:c>
      <x:c r="C15" s="51" t="str">
        <x:v>A comparação não foi contaminada por soluções finais tecnicamente inviáveis.</x:v>
      </x:c>
      <x:c r="D15" s="51" t="str">
        <x:v>Validade depende das regras MUST inferidas para os projetos.</x:v>
      </x:c>
    </x:row>
    <x:row r="16" ht="70" customHeight="1">
      <x:c r="A16" s="83" t="str">
        <x:v>Avaliador exato validado</x:v>
      </x:c>
      <x:c r="B16" s="51" t="str">
        <x:v>625 cenários one-hot; erro absoluto máximo = 1.554e-15.</x:v>
      </x:c>
      <x:c r="C16" s="51" t="str">
        <x:v>A implementação discreta usada no experimento reproduz a BN compilada com erro numérico desprezível.</x:v>
      </x:c>
      <x:c r="D16" s="51" t="str">
        <x:v>Isso valida a implementação computacional, não a validade externa da BN.</x:v>
      </x:c>
    </x:row>
    <x:row r="17" ht="70" customHeight="1">
      <x:c r="A17" s="83" t="str">
        <x:v>Checagem das equipes antigas da surrogate</x:v>
      </x:c>
      <x:c r="B17" s="51" t="str">
        <x:v>14/16 projetos ficaram dentro de 0,05; somente P2 e P9 ultrapassaram o limiar.</x:v>
      </x:c>
      <x:c r="C17" s="51" t="str">
        <x:v>Comparando a antiga equipe escolhida pela surrogate com a melhor equipe fresca do GA-BN: BN melhor em 6, antiga surrogate melhor em 3 e 7 empates.</x:v>
      </x:c>
      <x:c r="D17" s="51" t="str">
        <x:v>É uma comparação entre melhores soluções observadas, não um teste pareado por semente.</x:v>
      </x:c>
    </x:row>
    <x:row r="20" ht="22" customHeight="1">
      <x:c r="A20" s="24" t="str">
        <x:v>Inconsistências e cautelas nas escolhas do especialista</x:v>
      </x:c>
      <x:c r="B20" s="24" t="str">
        <x:v>Inconsistências e cautelas nas escolhas do especialista</x:v>
      </x:c>
      <x:c r="C20" s="24" t="str">
        <x:v>Inconsistências e cautelas nas escolhas do especialista</x:v>
      </x:c>
      <x:c r="D20" s="24" t="str">
        <x:v>Inconsistências e cautelas nas escolhas do especialista</x:v>
      </x:c>
      <x:c r="E20" s="24" t="str">
        <x:v>Inconsistências e cautelas nas escolhas do especialista</x:v>
      </x:c>
      <x:c r="F20" s="24" t="str">
        <x:v>Inconsistências e cautelas nas escolhas do especialista</x:v>
      </x:c>
      <x:c r="G20" s="24" t="str">
        <x:v>Inconsistências e cautelas nas escolhas do especialista</x:v>
      </x:c>
      <x:c r="H20" s="24" t="str">
        <x:v>Inconsistências e cautelas nas escolhas do especialista</x:v>
      </x:c>
    </x:row>
    <x:row r="21" ht="34" customHeight="1">
      <x:c r="A21" s="12" t="str">
        <x:v>Projeto/escopo</x:v>
      </x:c>
      <x:c r="B21" s="12" t="str">
        <x:v>Linhas</x:v>
      </x:c>
      <x:c r="C21" s="12" t="str">
        <x:v>Status</x:v>
      </x:c>
      <x:c r="D21" s="12" t="str">
        <x:v>O que ocorreu</x:v>
      </x:c>
      <x:c r="E21" s="12" t="str">
        <x:v>Impacto na interpretação</x:v>
      </x:c>
    </x:row>
    <x:row r="22" ht="68" customHeight="1">
      <x:c r="A22" s="51" t="str">
        <x:v>P2</x:v>
      </x:c>
      <x:c r="B22" s="51" t="str">
        <x:v>C018 e C040</x:v>
      </x:c>
      <x:c r="C22" s="51" t="str">
        <x:v>Inconsistente</x:v>
      </x:c>
      <x:c r="D22" s="51" t="str">
        <x:v>H e LLM têm a mesma composição. Em C018, o especialista escolheu o GA calibrado; em C040, diante da mesma dupla real, escolheu a composição H/LLM.</x:v>
      </x:c>
      <x:c r="E22" s="51" t="str">
        <x:v>A preferência entre essas duas composições não é estável; nenhuma das duas linhas deve ser usada isoladamente como evidência conclusiva.</x:v>
      </x:c>
    </x:row>
    <x:row r="23" ht="68" customHeight="1">
      <x:c r="A23" s="51" t="str">
        <x:v>P16</x:v>
      </x:c>
      <x:c r="B23" s="51" t="str">
        <x:v>C003 e C046</x:v>
      </x:c>
      <x:c r="C23" s="51" t="str">
        <x:v>Inconsistente</x:v>
      </x:c>
      <x:c r="D23" s="51" t="str">
        <x:v>A mesma dupla GA calibrado × LLM foi reapresentada com os lados invertidos. O especialista escolheu o GA em C003 e a LLM em C046.</x:v>
      </x:c>
      <x:c r="E23" s="51" t="str">
        <x:v>É uma contradição direta de repetição e sinaliza incerteza/instabilidade da decisão.</x:v>
      </x:c>
    </x:row>
    <x:row r="24" ht="68" customHeight="1">
      <x:c r="A24" s="51" t="str">
        <x:v>P9</x:v>
      </x:c>
      <x:c r="B24" s="51" t="str">
        <x:v>C011 e C034</x:v>
      </x:c>
      <x:c r="C24" s="51" t="str">
        <x:v>Inconsistente</x:v>
      </x:c>
      <x:c r="D24" s="51" t="str">
        <x:v>A dupla GA calibrado × GA uniforme reapareceu. Em C011, o especialista declarou equivalência; em C034, escolheu o GA uniforme.</x:v>
      </x:c>
      <x:c r="E24" s="51" t="str">
        <x:v>A avaliação mudou de equivalência para preferência pelo GA uniforme; indica instabilidade, embora não seja uma inversão direta entre vencedores.</x:v>
      </x:c>
    </x:row>
    <x:row r="25" ht="68" customHeight="1">
      <x:c r="A25" s="51" t="str">
        <x:v>Geral</x:v>
      </x:c>
      <x:c r="B25" s="51" t="str">
        <x:v>10 grupos repetidos</x:v>
      </x:c>
      <x:c r="C25" s="51" t="str">
        <x:v>Resumo</x:v>
      </x:c>
      <x:c r="D25" s="51" t="str">
        <x:v>7 grupos consistentes, 3 inconsistentes e 0 incompleto.</x:v>
      </x:c>
      <x:c r="E25" s="51" t="str">
        <x:v>As 52 linhas correspondem a 40 pares únicos de composições, não a 52 decisões independentes.</x:v>
      </x:c>
    </x:row>
    <x:row r="26" ht="68" customHeight="1">
      <x:c r="A26" s="51" t="str">
        <x:v>Geral</x:v>
      </x:c>
      <x:c r="B26" s="51" t="str">
        <x:v>8 composições iguais entre condições</x:v>
      </x:c>
      <x:c r="C26" s="51" t="str">
        <x:v>Controle</x:v>
      </x:c>
      <x:c r="D26" s="51" t="str">
        <x:v>H=LLM em P2, P3, P5 e P10; GA calibrado=GA uniforme em P4, P6, P10 e P14.</x:v>
      </x:c>
      <x:c r="E26" s="51" t="str">
        <x:v>Atribuir uma vitória exclusivamente ao gerador pode ser impossível quando geradores distintos produziram exatamente a mesma equipe.</x:v>
      </x:c>
    </x:row>
    <x:row r="27" ht="68" customHeight="1">
      <x:c r="A27" s="51" t="str">
        <x:v>Apresentação</x:v>
      </x:c>
      <x:c r="B27" s="51" t="str">
        <x:v>Todas as reaparições</x:v>
      </x:c>
      <x:c r="C27" s="51" t="str">
        <x:v>Consistente</x:v>
      </x:c>
      <x:c r="D27" s="51" t="str">
        <x:v>Para cada código de equipe repetido, roster e indicadores técnicos/colaborativos permaneceram idênticos. Nas oito composições iguais entre condições, os indicadores exibidos também foram iguais.</x:v>
      </x:c>
      <x:c r="E27" s="51" t="str">
        <x:v>As contradições identificadas não foram causadas por mudança das informações mostradas ao especialista.</x:v>
      </x:c>
    </x:row>
    <x:row r="30" ht="22" customHeight="1">
      <x:c r="A30" s="24" t="str">
        <x:v>Resultados por projeto (30 sementes por avaliador)</x:v>
      </x:c>
      <x:c r="B30" s="24" t="str">
        <x:v>Resultados por projeto (30 sementes por avaliador)</x:v>
      </x:c>
      <x:c r="C30" s="24" t="str">
        <x:v>Resultados por projeto (30 sementes por avaliador)</x:v>
      </x:c>
      <x:c r="D30" s="24" t="str">
        <x:v>Resultados por projeto (30 sementes por avaliador)</x:v>
      </x:c>
      <x:c r="E30" s="24" t="str">
        <x:v>Resultados por projeto (30 sementes por avaliador)</x:v>
      </x:c>
      <x:c r="F30" s="24" t="str">
        <x:v>Resultados por projeto (30 sementes por avaliador)</x:v>
      </x:c>
      <x:c r="G30" s="24" t="str">
        <x:v>Resultados por projeto (30 sementes por avaliador)</x:v>
      </x:c>
      <x:c r="H30" s="24" t="str">
        <x:v>Resultados por projeto (30 sementes por avaliador)</x:v>
      </x:c>
      <x:c r="I30" s="24" t="str">
        <x:v>Resultados por projeto (30 sementes por avaliador)</x:v>
      </x:c>
      <x:c r="J30" s="24" t="str">
        <x:v>Resultados por projeto (30 sementes por avaliador)</x:v>
      </x:c>
      <x:c r="K30" s="24" t="str">
        <x:v>Resultados por projeto (30 sementes por avaliador)</x:v>
      </x:c>
      <x:c r="L30" s="24" t="str">
        <x:v>Resultados por projeto (30 sementes por avaliador)</x:v>
      </x:c>
    </x:row>
    <x:row r="31" ht="34" customHeight="1">
      <x:c r="A31" s="12" t="str">
        <x:v>Projeto</x:v>
      </x:c>
      <x:c r="B31" s="12" t="str">
        <x:v>n</x:v>
      </x:c>
      <x:c r="C31" s="12" t="str">
        <x:v>Jaccard médio</x:v>
      </x:c>
      <x:c r="D31" s="12" t="str">
        <x:v>Escore BN — GA-BN</x:v>
      </x:c>
      <x:c r="E31" s="12" t="str">
        <x:v>Escore BN — GA-surrogate</x:v>
      </x:c>
      <x:c r="F31" s="12" t="str">
        <x:v>Delta médio BN−surrogate</x:v>
      </x:c>
      <x:c r="G31" s="12" t="str">
        <x:v>|Delta| médio</x:v>
      </x:c>
      <x:c r="H31" s="12" t="str">
        <x:v>Dentro de 0,01</x:v>
      </x:c>
      <x:c r="I31" s="12" t="str">
        <x:v>Dentro de 0,05</x:v>
      </x:c>
      <x:c r="J31" s="12" t="str">
        <x:v>BN superior</x:v>
      </x:c>
      <x:c r="K31" s="12" t="str">
        <x:v>Surrogate superior</x:v>
      </x:c>
      <x:c r="L31" s="12" t="str">
        <x:v>Empates</x:v>
      </x:c>
    </x:row>
    <x:row r="32">
      <x:c r="A32" s="84" t="str">
        <x:v>P1</x:v>
      </x:c>
      <x:c r="B32" s="84" t="n">
        <x:v>30</x:v>
      </x:c>
      <x:c r="C32" s="85" t="n">
        <x:v>0.07170706744236156</x:v>
      </x:c>
      <x:c r="D32" s="85" t="n">
        <x:v>0.5955055189417318</x:v>
      </x:c>
      <x:c r="E32" s="85" t="n">
        <x:v>0.660941759324764</x:v>
      </x:c>
      <x:c r="F32" s="85" t="n">
        <x:v>-0.06543624038303221</x:v>
      </x:c>
      <x:c r="G32" s="85" t="n">
        <x:v>0.06543624038303221</x:v>
      </x:c>
      <x:c r="H32" s="84" t="n">
        <x:v>13</x:v>
      </x:c>
      <x:c r="I32" s="84" t="n">
        <x:v>20</x:v>
      </x:c>
      <x:c r="J32" s="84" t="n">
        <x:v>0</x:v>
      </x:c>
      <x:c r="K32" s="84" t="n">
        <x:v>17</x:v>
      </x:c>
      <x:c r="L32" s="84" t="n">
        <x:v>13</x:v>
      </x:c>
    </x:row>
    <x:row r="33">
      <x:c r="A33" s="84" t="str">
        <x:v>P2</x:v>
      </x:c>
      <x:c r="B33" s="84" t="n">
        <x:v>30</x:v>
      </x:c>
      <x:c r="C33" s="85" t="n">
        <x:v>0.06910866910866911</x:v>
      </x:c>
      <x:c r="D33" s="85" t="n">
        <x:v>0.51527809966509</x:v>
      </x:c>
      <x:c r="E33" s="85" t="n">
        <x:v>0.5105706298498408</x:v>
      </x:c>
      <x:c r="F33" s="85" t="n">
        <x:v>0.004707469815249179</x:v>
      </x:c>
      <x:c r="G33" s="85" t="n">
        <x:v>0.016721220722949</x:v>
      </x:c>
      <x:c r="H33" s="84" t="n">
        <x:v>13</x:v>
      </x:c>
      <x:c r="I33" s="84" t="n">
        <x:v>29</x:v>
      </x:c>
      <x:c r="J33" s="84" t="n">
        <x:v>17</x:v>
      </x:c>
      <x:c r="K33" s="84" t="n">
        <x:v>6</x:v>
      </x:c>
      <x:c r="L33" s="84" t="n">
        <x:v>7</x:v>
      </x:c>
    </x:row>
    <x:row r="34">
      <x:c r="A34" s="84" t="str">
        <x:v>P3</x:v>
      </x:c>
      <x:c r="B34" s="84" t="n">
        <x:v>30</x:v>
      </x:c>
      <x:c r="C34" s="85" t="n">
        <x:v>0.08928571428571427</x:v>
      </x:c>
      <x:c r="D34" s="85" t="n">
        <x:v>0.6969126470034778</x:v>
      </x:c>
      <x:c r="E34" s="85" t="n">
        <x:v>0.7068709613283433</x:v>
      </x:c>
      <x:c r="F34" s="85" t="n">
        <x:v>-0.009958314324865507</x:v>
      </x:c>
      <x:c r="G34" s="85" t="n">
        <x:v>0.011721150294594617</x:v>
      </x:c>
      <x:c r="H34" s="84" t="n">
        <x:v>12</x:v>
      </x:c>
      <x:c r="I34" s="84" t="n">
        <x:v>30</x:v>
      </x:c>
      <x:c r="J34" s="84" t="n">
        <x:v>2</x:v>
      </x:c>
      <x:c r="K34" s="84" t="n">
        <x:v>18</x:v>
      </x:c>
      <x:c r="L34" s="84" t="n">
        <x:v>10</x:v>
      </x:c>
    </x:row>
    <x:row r="35">
      <x:c r="A35" s="84" t="str">
        <x:v>P4</x:v>
      </x:c>
      <x:c r="B35" s="84" t="n">
        <x:v>30</x:v>
      </x:c>
      <x:c r="C35" s="85" t="n">
        <x:v>0.10183311786252962</x:v>
      </x:c>
      <x:c r="D35" s="85" t="n">
        <x:v>0.6316054431565696</x:v>
      </x:c>
      <x:c r="E35" s="85" t="n">
        <x:v>0.6975638220198442</x:v>
      </x:c>
      <x:c r="F35" s="85" t="n">
        <x:v>-0.06595837886327456</x:v>
      </x:c>
      <x:c r="G35" s="85" t="n">
        <x:v>0.06595837886327456</x:v>
      </x:c>
      <x:c r="H35" s="84" t="n">
        <x:v>10</x:v>
      </x:c>
      <x:c r="I35" s="84" t="n">
        <x:v>20</x:v>
      </x:c>
      <x:c r="J35" s="84" t="n">
        <x:v>0</x:v>
      </x:c>
      <x:c r="K35" s="84" t="n">
        <x:v>20</x:v>
      </x:c>
      <x:c r="L35" s="84" t="n">
        <x:v>10</x:v>
      </x:c>
    </x:row>
    <x:row r="36">
      <x:c r="A36" s="84" t="str">
        <x:v>P5</x:v>
      </x:c>
      <x:c r="B36" s="84" t="n">
        <x:v>30</x:v>
      </x:c>
      <x:c r="C36" s="85" t="n">
        <x:v>0.10793650793650794</x:v>
      </x:c>
      <x:c r="D36" s="85" t="n">
        <x:v>0.6745119448308906</x:v>
      </x:c>
      <x:c r="E36" s="85" t="n">
        <x:v>0.6710512855835373</x:v>
      </x:c>
      <x:c r="F36" s="85" t="n">
        <x:v>0.003460659247353337</x:v>
      </x:c>
      <x:c r="G36" s="85" t="n">
        <x:v>0.00488909982694562</x:v>
      </x:c>
      <x:c r="H36" s="84" t="n">
        <x:v>25</x:v>
      </x:c>
      <x:c r="I36" s="84" t="n">
        <x:v>29</x:v>
      </x:c>
      <x:c r="J36" s="84" t="n">
        <x:v>4</x:v>
      </x:c>
      <x:c r="K36" s="84" t="n">
        <x:v>1</x:v>
      </x:c>
      <x:c r="L36" s="84" t="n">
        <x:v>25</x:v>
      </x:c>
    </x:row>
    <x:row r="37">
      <x:c r="A37" s="84" t="str">
        <x:v>P6</x:v>
      </x:c>
      <x:c r="B37" s="84" t="n">
        <x:v>30</x:v>
      </x:c>
      <x:c r="C37" s="85" t="n">
        <x:v>0.11345765345765346</x:v>
      </x:c>
      <x:c r="D37" s="85" t="n">
        <x:v>0.5397885227273894</x:v>
      </x:c>
      <x:c r="E37" s="85" t="n">
        <x:v>0.5524323957468857</x:v>
      </x:c>
      <x:c r="F37" s="85" t="n">
        <x:v>-0.012643873019496377</x:v>
      </x:c>
      <x:c r="G37" s="85" t="n">
        <x:v>0.01733306614903894</x:v>
      </x:c>
      <x:c r="H37" s="84" t="n">
        <x:v>14</x:v>
      </x:c>
      <x:c r="I37" s="84" t="n">
        <x:v>30</x:v>
      </x:c>
      <x:c r="J37" s="84" t="n">
        <x:v>2</x:v>
      </x:c>
      <x:c r="K37" s="84" t="n">
        <x:v>14</x:v>
      </x:c>
      <x:c r="L37" s="84" t="n">
        <x:v>14</x:v>
      </x:c>
    </x:row>
    <x:row r="38">
      <x:c r="A38" s="84" t="str">
        <x:v>P7</x:v>
      </x:c>
      <x:c r="B38" s="84" t="n">
        <x:v>30</x:v>
      </x:c>
      <x:c r="C38" s="85" t="n">
        <x:v>0.03888888888888888</x:v>
      </x:c>
      <x:c r="D38" s="85" t="n">
        <x:v>0.650493319175736</x:v>
      </x:c>
      <x:c r="E38" s="85" t="n">
        <x:v>0.6488335986947877</x:v>
      </x:c>
      <x:c r="F38" s="85" t="n">
        <x:v>0.0016597204809483605</x:v>
      </x:c>
      <x:c r="G38" s="85" t="n">
        <x:v>0.012622602908981255</x:v>
      </x:c>
      <x:c r="H38" s="84" t="n">
        <x:v>18</x:v>
      </x:c>
      <x:c r="I38" s="84" t="n">
        <x:v>30</x:v>
      </x:c>
      <x:c r="J38" s="84" t="n">
        <x:v>21</x:v>
      </x:c>
      <x:c r="K38" s="84" t="n">
        <x:v>7</x:v>
      </x:c>
      <x:c r="L38" s="84" t="n">
        <x:v>2</x:v>
      </x:c>
    </x:row>
    <x:row r="39">
      <x:c r="A39" s="84" t="str">
        <x:v>P8</x:v>
      </x:c>
      <x:c r="B39" s="84" t="n">
        <x:v>30</x:v>
      </x:c>
      <x:c r="C39" s="85" t="n">
        <x:v>0.07817460317460317</x:v>
      </x:c>
      <x:c r="D39" s="85" t="n">
        <x:v>0.6969126470034778</x:v>
      </x:c>
      <x:c r="E39" s="85" t="n">
        <x:v>0.7053779222162405</x:v>
      </x:c>
      <x:c r="F39" s="85" t="n">
        <x:v>-0.00846527521276278</x:v>
      </x:c>
      <x:c r="G39" s="85" t="n">
        <x:v>0.009767625245495515</x:v>
      </x:c>
      <x:c r="H39" s="84" t="n">
        <x:v>15</x:v>
      </x:c>
      <x:c r="I39" s="84" t="n">
        <x:v>30</x:v>
      </x:c>
      <x:c r="J39" s="84" t="n">
        <x:v>1</x:v>
      </x:c>
      <x:c r="K39" s="84" t="n">
        <x:v>14</x:v>
      </x:c>
      <x:c r="L39" s="84" t="n">
        <x:v>15</x:v>
      </x:c>
    </x:row>
    <x:row r="40">
      <x:c r="A40" s="84" t="str">
        <x:v>P9</x:v>
      </x:c>
      <x:c r="B40" s="84" t="n">
        <x:v>30</x:v>
      </x:c>
      <x:c r="C40" s="85" t="n">
        <x:v>0.10797979797979798</x:v>
      </x:c>
      <x:c r="D40" s="85" t="n">
        <x:v>0.5232642974211538</x:v>
      </x:c>
      <x:c r="E40" s="85" t="n">
        <x:v>0.5343336216252762</x:v>
      </x:c>
      <x:c r="F40" s="85" t="n">
        <x:v>-0.011069324204122459</x:v>
      </x:c>
      <x:c r="G40" s="85" t="n">
        <x:v>0.024084312411024898</x:v>
      </x:c>
      <x:c r="H40" s="84" t="n">
        <x:v>7</x:v>
      </x:c>
      <x:c r="I40" s="84" t="n">
        <x:v>29</x:v>
      </x:c>
      <x:c r="J40" s="84" t="n">
        <x:v>7</x:v>
      </x:c>
      <x:c r="K40" s="84" t="n">
        <x:v>16</x:v>
      </x:c>
      <x:c r="L40" s="84" t="n">
        <x:v>7</x:v>
      </x:c>
    </x:row>
    <x:row r="41">
      <x:c r="A41" s="84" t="str">
        <x:v>P10</x:v>
      </x:c>
      <x:c r="B41" s="84" t="n">
        <x:v>30</x:v>
      </x:c>
      <x:c r="C41" s="85" t="n">
        <x:v>0.08893772893772893</x:v>
      </x:c>
      <x:c r="D41" s="85" t="n">
        <x:v>0.6303381679652367</x:v>
      </x:c>
      <x:c r="E41" s="85" t="n">
        <x:v>0.6526522515919052</x:v>
      </x:c>
      <x:c r="F41" s="85" t="n">
        <x:v>-0.022314083626668615</x:v>
      </x:c>
      <x:c r="G41" s="85" t="n">
        <x:v>0.033749195548779316</x:v>
      </x:c>
      <x:c r="H41" s="84" t="n">
        <x:v>13</x:v>
      </x:c>
      <x:c r="I41" s="84" t="n">
        <x:v>25</x:v>
      </x:c>
      <x:c r="J41" s="84" t="n">
        <x:v>10</x:v>
      </x:c>
      <x:c r="K41" s="84" t="n">
        <x:v>12</x:v>
      </x:c>
      <x:c r="L41" s="84" t="n">
        <x:v>8</x:v>
      </x:c>
    </x:row>
    <x:row r="42">
      <x:c r="A42" s="84" t="str">
        <x:v>P11</x:v>
      </x:c>
      <x:c r="B42" s="84" t="n">
        <x:v>30</x:v>
      </x:c>
      <x:c r="C42" s="85" t="n">
        <x:v>0.10469726352079294</x:v>
      </x:c>
      <x:c r="D42" s="85" t="n">
        <x:v>0.49564510162388775</x:v>
      </x:c>
      <x:c r="E42" s="85" t="n">
        <x:v>0.5295173581590491</x:v>
      </x:c>
      <x:c r="F42" s="85" t="n">
        <x:v>-0.033872256535161335</x:v>
      </x:c>
      <x:c r="G42" s="85" t="n">
        <x:v>0.03674585107849768</x:v>
      </x:c>
      <x:c r="H42" s="84" t="n">
        <x:v>13</x:v>
      </x:c>
      <x:c r="I42" s="84" t="n">
        <x:v>25</x:v>
      </x:c>
      <x:c r="J42" s="84" t="n">
        <x:v>2</x:v>
      </x:c>
      <x:c r="K42" s="84" t="n">
        <x:v>15</x:v>
      </x:c>
      <x:c r="L42" s="84" t="n">
        <x:v>13</x:v>
      </x:c>
    </x:row>
    <x:row r="43">
      <x:c r="A43" s="84" t="str">
        <x:v>P12</x:v>
      </x:c>
      <x:c r="B43" s="84" t="n">
        <x:v>30</x:v>
      </x:c>
      <x:c r="C43" s="85" t="n">
        <x:v>0.14</x:v>
      </x:c>
      <x:c r="D43" s="85" t="n">
        <x:v>0.5441367691613975</x:v>
      </x:c>
      <x:c r="E43" s="85" t="n">
        <x:v>0.5368050396824592</x:v>
      </x:c>
      <x:c r="F43" s="85" t="n">
        <x:v>0.007331729478938418</x:v>
      </x:c>
      <x:c r="G43" s="85" t="n">
        <x:v>0.013380511313732784</x:v>
      </x:c>
      <x:c r="H43" s="84" t="n">
        <x:v>22</x:v>
      </x:c>
      <x:c r="I43" s="84" t="n">
        <x:v>26</x:v>
      </x:c>
      <x:c r="J43" s="84" t="n">
        <x:v>8</x:v>
      </x:c>
      <x:c r="K43" s="84" t="n">
        <x:v>3</x:v>
      </x:c>
      <x:c r="L43" s="84" t="n">
        <x:v>19</x:v>
      </x:c>
    </x:row>
    <x:row r="44">
      <x:c r="A44" s="84" t="str">
        <x:v>P13</x:v>
      </x:c>
      <x:c r="B44" s="84" t="n">
        <x:v>30</x:v>
      </x:c>
      <x:c r="C44" s="85" t="n">
        <x:v>0.2733333333333333</x:v>
      </x:c>
      <x:c r="D44" s="85" t="n">
        <x:v>0.8911836062451312</x:v>
      </x:c>
      <x:c r="E44" s="85" t="n">
        <x:v>0.8911836062451312</x:v>
      </x:c>
      <x:c r="F44" s="85" t="n">
        <x:v>0</x:v>
      </x:c>
      <x:c r="G44" s="85" t="n">
        <x:v>0</x:v>
      </x:c>
      <x:c r="H44" s="84" t="n">
        <x:v>30</x:v>
      </x:c>
      <x:c r="I44" s="84" t="n">
        <x:v>30</x:v>
      </x:c>
      <x:c r="J44" s="84" t="n">
        <x:v>0</x:v>
      </x:c>
      <x:c r="K44" s="84" t="n">
        <x:v>0</x:v>
      </x:c>
      <x:c r="L44" s="84" t="n">
        <x:v>30</x:v>
      </x:c>
    </x:row>
    <x:row r="45">
      <x:c r="A45" s="84" t="str">
        <x:v>P14</x:v>
      </x:c>
      <x:c r="B45" s="84" t="n">
        <x:v>30</x:v>
      </x:c>
      <x:c r="C45" s="85" t="n">
        <x:v>0.20698412698412696</x:v>
      </x:c>
      <x:c r="D45" s="85" t="n">
        <x:v>0.8851558318860661</x:v>
      </x:c>
      <x:c r="E45" s="85" t="n">
        <x:v>0.8907427876665659</x:v>
      </x:c>
      <x:c r="F45" s="85" t="n">
        <x:v>-0.005586955780499795</x:v>
      </x:c>
      <x:c r="G45" s="85" t="n">
        <x:v>0.006468592937630658</x:v>
      </x:c>
      <x:c r="H45" s="84" t="n">
        <x:v>29</x:v>
      </x:c>
      <x:c r="I45" s="84" t="n">
        <x:v>29</x:v>
      </x:c>
      <x:c r="J45" s="84" t="n">
        <x:v>2</x:v>
      </x:c>
      <x:c r="K45" s="84" t="n">
        <x:v>2</x:v>
      </x:c>
      <x:c r="L45" s="84" t="n">
        <x:v>26</x:v>
      </x:c>
    </x:row>
    <x:row r="46">
      <x:c r="A46" s="84" t="str">
        <x:v>P15</x:v>
      </x:c>
      <x:c r="B46" s="84" t="n">
        <x:v>30</x:v>
      </x:c>
      <x:c r="C46" s="85" t="n">
        <x:v>0.08465608465608465</x:v>
      </x:c>
      <x:c r="D46" s="85" t="n">
        <x:v>0.5277673919911636</x:v>
      </x:c>
      <x:c r="E46" s="85" t="n">
        <x:v>0.5235033854173647</x:v>
      </x:c>
      <x:c r="F46" s="85" t="n">
        <x:v>0.004264006573798881</x:v>
      </x:c>
      <x:c r="G46" s="85" t="n">
        <x:v>0.02441667654665957</x:v>
      </x:c>
      <x:c r="H46" s="84" t="n">
        <x:v>9</x:v>
      </x:c>
      <x:c r="I46" s="84" t="n">
        <x:v>30</x:v>
      </x:c>
      <x:c r="J46" s="84" t="n">
        <x:v>18</x:v>
      </x:c>
      <x:c r="K46" s="84" t="n">
        <x:v>10</x:v>
      </x:c>
      <x:c r="L46" s="84" t="n">
        <x:v>2</x:v>
      </x:c>
    </x:row>
    <x:row r="47">
      <x:c r="A47" s="84" t="str">
        <x:v>P16</x:v>
      </x:c>
      <x:c r="B47" s="84" t="n">
        <x:v>30</x:v>
      </x:c>
      <x:c r="C47" s="85" t="n">
        <x:v>0.06771008403361344</x:v>
      </x:c>
      <x:c r="D47" s="85" t="n">
        <x:v>0.49727339256259817</x:v>
      </x:c>
      <x:c r="E47" s="85" t="n">
        <x:v>0.5243628485653772</x:v>
      </x:c>
      <x:c r="F47" s="85" t="n">
        <x:v>-0.027089456002778973</x:v>
      </x:c>
      <x:c r="G47" s="85" t="n">
        <x:v>0.027089456002778973</x:v>
      </x:c>
      <x:c r="H47" s="84" t="n">
        <x:v>14</x:v>
      </x:c>
      <x:c r="I47" s="84" t="n">
        <x:v>26</x:v>
      </x:c>
      <x:c r="J47" s="84" t="n">
        <x:v>0</x:v>
      </x:c>
      <x:c r="K47" s="84" t="n">
        <x:v>16</x:v>
      </x:c>
      <x:c r="L47" s="84" t="n">
        <x:v>14</x:v>
      </x:c>
    </x:row>
    <x:row r="50" ht="22" customHeight="1">
      <x:c r="A50" s="24" t="str">
        <x:v>Fontes e interpretação</x:v>
      </x:c>
      <x:c r="B50" s="24" t="str">
        <x:v>Fontes e interpretação</x:v>
      </x:c>
      <x:c r="C50" s="24" t="str">
        <x:v>Fontes e interpretação</x:v>
      </x:c>
      <x:c r="D50" s="24" t="str">
        <x:v>Fontes e interpretação</x:v>
      </x:c>
      <x:c r="E50" s="24" t="str">
        <x:v>Fontes e interpretação</x:v>
      </x:c>
      <x:c r="F50" s="24" t="str">
        <x:v>Fontes e interpretação</x:v>
      </x:c>
      <x:c r="G50" s="24" t="str">
        <x:v>Fontes e interpretação</x:v>
      </x:c>
      <x:c r="H50" s="24" t="str">
        <x:v>Fontes e interpretação</x:v>
      </x:c>
      <x:c r="I50" s="24" t="str">
        <x:v>Fontes e interpretação</x:v>
      </x:c>
      <x:c r="J50" s="24" t="str">
        <x:v>Fontes e interpretação</x:v>
      </x:c>
      <x:c r="K50" s="24" t="str">
        <x:v>Fontes e interpretação</x:v>
      </x:c>
      <x:c r="L50" s="24" t="str">
        <x:v>Fontes e interpretação</x:v>
      </x:c>
    </x:row>
    <x:row r="51" ht="46" customHeight="1">
      <x:c r="A51" s="87" t="str">
        <x:v>Conclusão cirúrgica</x:v>
      </x:c>
      <x:c r="B51" s="51" t="str">
        <x:v>Não foi observada degradação média prática da qualidade final sob a BN ao usar a surrogate. A evidência não autoriza afirmar identidade das equipes, fidelidade ponto a ponto, superioridade no mundo real ou preferência do especialista.</x:v>
      </x:c>
    </x:row>
    <x:row r="52" ht="46" customHeight="1">
      <x:c r="A52" s="87" t="str">
        <x:v>Delta</x:v>
      </x:c>
      <x:c r="B52" s="51" t="str">
        <x:v>BN(equipe encontrada pelo GA-BN) − BN(equipe encontrada pelo GA-surrogate). Valor negativo favorece a equipe encontrada com a surrogate, quando ambas são julgadas pela BN.</x:v>
      </x:c>
    </x:row>
    <x:row r="53" ht="46" customHeight="1">
      <x:c r="A53" s="87" t="str">
        <x:v>Respostas do especialista</x:v>
      </x:c>
      <x:c r="B53" s="51" t="str">
        <x:v>C:\Users\felip\OneDrive\Documentos\validação final expert\[TFP] expert_study_workbook - Comparisons.csv</x:v>
      </x:c>
    </x:row>
    <x:row r="54" ht="46" customHeight="1">
      <x:c r="A54" s="87" t="str">
        <x:v>Respostas de aceitabilidade</x:v>
      </x:c>
      <x:c r="B54" s="51" t="str">
        <x:v>C:\Users\felip\OneDrive\Documentos\validação final expert\[TFP] expert_study_workbook - Acceptability.csv</x:v>
      </x:c>
    </x:row>
    <x:row r="55" ht="46" customHeight="1">
      <x:c r="A55" s="87" t="str">
        <x:v>Chave oculta A/B</x:v>
      </x:c>
      <x:c r="B55" s="51" t="str">
        <x:v>C:\Users\felip\OneDrive\Documentos\Artigo SEIP ICSE\Expert Validation Study\researcher_key_final.xlsx</x:v>
      </x:c>
    </x:row>
    <x:row r="56" ht="46" customHeight="1">
      <x:c r="A56" s="87" t="str">
        <x:v>Resumo BN × surrogate</x:v>
      </x:c>
      <x:c r="B56" s="51" t="str">
        <x:v>C:\projetos\teamplus\experiments\bn_vs_surrogate_16p_2025\consolidated\global_summary.json</x:v>
      </x:c>
    </x:row>
    <x:row r="57" ht="46" customHeight="1">
      <x:c r="A57" s="87" t="str">
        <x:v>Resultados por projeto</x:v>
      </x:c>
      <x:c r="B57" s="51" t="str">
        <x:v>C:\projetos\teamplus\experiments\bn_vs_surrogate_16p_2025\consolidated\project_summary_all.csv</x:v>
      </x:c>
    </x:row>
    <x:row r="58" ht="46" customHeight="1">
      <x:c r="A58" s="87" t="str">
        <x:v>Equipes antigas</x:v>
      </x:c>
      <x:c r="B58" s="51" t="str">
        <x:v>C:\projetos\teamplus\experiments\bn_vs_surrogate_16p_2025\consolidated\legacy_chosen_vs_fresh_bn_best_by_project.csv</x:v>
      </x:c>
    </x:row>
    <x:row r="59" ht="46" customHeight="1">
      <x:c r="A59" s="87" t="str">
        <x:v>Relatório metodológico</x:v>
      </x:c>
      <x:c r="B59" s="51" t="str">
        <x:v>C:\projetos\teamplus\experiments\bn_vs_surrogate_16p_2025\RELATORIO_RESULTADOS.md</x:v>
      </x:c>
    </x:row>
  </x:sheetData>
  <x:mergeCells>
    <x:mergeCell ref="A1:L1"/>
    <x:mergeCell ref="A2:L2"/>
    <x:mergeCell ref="A4:H4"/>
    <x:mergeCell ref="A10:H10"/>
    <x:mergeCell ref="A20:H20"/>
    <x:mergeCell ref="A30:L30"/>
    <x:mergeCell ref="A50:L50"/>
  </x:mergeCells>
  <x:conditionalFormatting sqref="C22:C27">
    <x:cfRule type="containsText" dxfId="10" priority="1" operator="containsText" text="Inconsistente"/>
    <x:cfRule type="containsText" dxfId="11" priority="2" operator="containsText" text="Incompleto"/>
    <x:cfRule type="containsText" dxfId="12" priority="3" operator="containsText" text="Consistente"/>
  </x:conditionalFormatting>
  <x:pageMargins left="0.7" right="0.7" top="0.75" bottom="0.75" header="0.3" footer="0.3"/>
  <x:drawing xmlns:r="http://schemas.openxmlformats.org/officeDocument/2006/relationships" r:id="R187262e9f4f147c7"/>
  <x:tableParts count="1">
    <x:tablePart xmlns:r="http://schemas.openxmlformats.org/officeDocument/2006/relationships" r:id="Rf6e7fd96959d430c"/>
  </x:tableParts>
</x:worksheet>
</file>
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Timing results" sheetId="2" r:id="rId6"/>
    <sheet state="visible" name="Timing summary" sheetId="3" r:id="rId7"/>
    <sheet state="visible" name="Fidelity results" sheetId="4" r:id="rId8"/>
    <sheet state="visible" name="Script reference" sheetId="5" r:id="rId9"/>
  </sheets>
  <definedNames/>
  <calcPr/>
</workbook>
</file>

<file path=xl/sharedStrings.xml><?xml version="1.0" encoding="utf-8"?>
<sst xmlns="http://schemas.openxmlformats.org/spreadsheetml/2006/main" count="684" uniqueCount="389">
  <si>
    <t>condition</t>
  </si>
  <si>
    <t># Runtime Experiment: Surrogate vs BN, with and without GA</t>
  </si>
  <si>
    <t>project</t>
  </si>
  <si>
    <t>n_rounds</t>
  </si>
  <si>
    <t>round</t>
  </si>
  <si>
    <t>time_s</t>
  </si>
  <si>
    <t>mean_s</t>
  </si>
  <si>
    <t>C1_Sur_noGA</t>
  </si>
  <si>
    <t>P1</t>
  </si>
  <si>
    <t>std_s</t>
  </si>
  <si>
    <t>Measures the execution time of the four team-formation pipeline conditions.</t>
  </si>
  <si>
    <t>min_s</t>
  </si>
  <si>
    <t>max_s</t>
  </si>
  <si>
    <t>## Conditions</t>
  </si>
  <si>
    <t>| ID | Evaluator | Search | Main file |</t>
  </si>
  <si>
    <t>C2_Sur_withGA</t>
  </si>
  <si>
    <t>|-----|-----------|--------|------------------------------|</t>
  </si>
  <si>
    <t>| C1 | Surrogate | — | `Pipeline/evaluate_teams_sur.py` |</t>
  </si>
  <si>
    <t>| C2 | Surrogate | GA | `Algorithms/GA/engine.py` |</t>
  </si>
  <si>
    <t>| C3 | BN | — | `Pipeline/evaluate_teams.py` |</t>
  </si>
  <si>
    <t>| C4 | BN | GA | `Algorithms/GA/engine.py` |</t>
  </si>
  <si>
    <t>C3_BN_noGA</t>
  </si>
  <si>
    <t>P2</t>
  </si>
  <si>
    <t>Surrogate vs Bayesian Network — Supplementary Results</t>
  </si>
  <si>
    <t>**Without GA (C1, C3):** evaluates 210 randomly sampled teams per round.</t>
  </si>
  <si>
    <t>P3</t>
  </si>
  <si>
    <t>**With GA (C2, C4):** runs `pop_size=10` for 20 complete generations, totaling 210 evaluations; caching and early stopping are disabled.</t>
  </si>
  <si>
    <t>Fidelity, computational efficiency, scientific interpretation, and reproducibility notes</t>
  </si>
  <si>
    <t>P4</t>
  </si>
  <si>
    <t>## Experimental design</t>
  </si>
  <si>
    <t>C4_BN_withGA</t>
  </si>
  <si>
    <t>- 5 projects (P1–P5, sourced from `Walkthrough_Projects_Profiles/Projetos.csv`)</t>
  </si>
  <si>
    <t>P5</t>
  </si>
  <si>
    <t>- 5 rounds per (condition × project)</t>
  </si>
  <si>
    <t>- Total: 4 × 5 × 5 = **100 measurements**</t>
  </si>
  <si>
    <t>## How to run</t>
  </si>
  <si>
    <t>Run from the project root (`STFP/`):</t>
  </si>
  <si>
    <t>Fidelity metrics</t>
  </si>
  <si>
    <t>```bash</t>
  </si>
  <si>
    <t>python Experimento_tempo_Sur_BN_GA/benchmark.py</t>
  </si>
  <si>
    <t>Phase</t>
  </si>
  <si>
    <t>```</t>
  </si>
  <si>
    <t>Validation design</t>
  </si>
  <si>
    <t>Brier Score</t>
  </si>
  <si>
    <t>MAE (expected mean)</t>
  </si>
  <si>
    <t>n</t>
  </si>
  <si>
    <t>Or run from inside the experiment folder:</t>
  </si>
  <si>
    <t>Projects</t>
  </si>
  <si>
    <t>Missing teacher rows</t>
  </si>
  <si>
    <t>Canonical source</t>
  </si>
  <si>
    <t>Training (calibration)</t>
  </si>
  <si>
    <t>cd Experimento_tempo_Sur_BN_GA</t>
  </si>
  <si>
    <t>Controlled exhaustive grid; deterministic-hash training split</t>
  </si>
  <si>
    <t>python benchmark.py</t>
  </si>
  <si>
    <t>## Output</t>
  </si>
  <si>
    <t>Calibration_surrogate/BN_teacher/results_teacher_bn/best_params_teacher_bn.json</t>
  </si>
  <si>
    <t>`Experimento_tempo_Sur_BN_GA/results_tempo.csv` with columns:</t>
  </si>
  <si>
    <t>Controlled holdout</t>
  </si>
  <si>
    <t>Held-out controlled scenarios; no parameter readjustment</t>
  </si>
  <si>
    <t>| Column | Description |</t>
  </si>
  <si>
    <t>|-----------|----------------------------------------|</t>
  </si>
  <si>
    <t>Real teams (end-to-end)</t>
  </si>
  <si>
    <t>200 sampled teams per project; seed 42</t>
  </si>
  <si>
    <t>| `condition` | C1_Sur_noGA / C2_Sur_withGA / C3_BN_noGA / C4_BN_withGA |</t>
  </si>
  <si>
    <t>Calibration_surrogate/EndToEnd/results_end2end/summary.json</t>
  </si>
  <si>
    <t>| `project` | P1 … P5 |</t>
  </si>
  <si>
    <t>| `round` | 1 … 5 |</t>
  </si>
  <si>
    <t>Calibrated surrogate parameters</t>
  </si>
  <si>
    <t>| `time_s` | Time measured with `time.perf_counter()` |</t>
  </si>
  <si>
    <t>w_dom</t>
  </si>
  <si>
    <t>w_eco</t>
  </si>
  <si>
    <t>w_ling</t>
  </si>
  <si>
    <t>At the end of the benchmark, a summary by condition (mean ± standard deviation) is printed to the terminal.</t>
  </si>
  <si>
    <t>w_min</t>
  </si>
  <si>
    <t>w_max</t>
  </si>
  <si>
    <t>sigma_AE</t>
  </si>
  <si>
    <t>## Dependencies</t>
  </si>
  <si>
    <t>No additional dependencies beyond those already used by the project (numpy, pgmpy, or an equivalent BN library).</t>
  </si>
  <si>
    <t>Derived fidelity checks</t>
  </si>
  <si>
    <t>Make sure the following files exist before running:</t>
  </si>
  <si>
    <t>Check</t>
  </si>
  <si>
    <t>Value</t>
  </si>
  <si>
    <t>- `Data/Dev_DB.json`</t>
  </si>
  <si>
    <t>Interpretation</t>
  </si>
  <si>
    <t>- `Data/Graph_DB.json`</t>
  </si>
  <si>
    <t>Brier: holdout minus training</t>
  </si>
  <si>
    <t>- `Feature_Extraction/Dimension_Scoring/pesos_calibrados.json`</t>
  </si>
  <si>
    <t>- `Calibration_surrogate/BN_teacher/results_teacher_bn/best_params_teacher_bn.json`</t>
  </si>
  <si>
    <t>*(if absent, the surrogate uses default parameters and emits a warning)*</t>
  </si>
  <si>
    <t>## Adjustable parameters (top of `benchmark.py`)</t>
  </si>
  <si>
    <t>| Variable | Default | Description |</t>
  </si>
  <si>
    <t>|------------------|---------|----------------------------------|</t>
  </si>
  <si>
    <t>| `N_ROUNDS` | 5 | Rounds per condition/project |</t>
  </si>
  <si>
    <t>| `N_TEAMS_SEM_AG` | 210 | Teams evaluated in C1 and C3 |</t>
  </si>
  <si>
    <t>| `GA_POP_SIZE` | 10 | GA population size |</t>
  </si>
  <si>
    <t>| `GA_GENS` | 20 | Complete generations; early stopping disabled |</t>
  </si>
  <si>
    <t>Small positive difference; not evidence of statistical equivalence</t>
  </si>
  <si>
    <t>| `TEAM_SIZE` | 4 | Team size |</t>
  </si>
  <si>
    <t>| `SEED_BASE` | 42 | Base seed for reproducibility |</t>
  </si>
  <si>
    <t>MAE: holdout minus training</t>
  </si>
  <si>
    <t>Overall results — 5 projects × 5 rounds per condition</t>
  </si>
  <si>
    <t>## Audit and reproducibility notes</t>
  </si>
  <si>
    <t>Protocol and comparisons</t>
  </si>
  <si>
    <t>End-to-end MAE in percentage points</t>
  </si>
  <si>
    <t>- Effective protocol: 210 evaluations per round; population 10; 20 complete generations; caching and early stopping disabled.</t>
  </si>
  <si>
    <t>- Total: 4 conditions × 5 projects × 5 rounds = 100 measurements.</t>
  </si>
  <si>
    <t>- Hardware and software-version metadata were not recorded and should be reported before publication.</t>
  </si>
  <si>
    <t>- `Data/Dev_DB.json` and `Data/Graph_DB.json` are required by the scripts but are currently absent from the local repository.</t>
  </si>
  <si>
    <t>ms/evaluation</t>
  </si>
  <si>
    <t>- `Script reference` is an English-language adaptation for supplementary documentation; the canonical executable is `Experimento_tempo_Sur_BN_GA/benchmark.py`. English condition IDs map one-to-one to the canonical semAG/comAG identifiers.</t>
  </si>
  <si>
    <t>Speedup without GA</t>
  </si>
  <si>
    <t>Average expected-score difference between surrogate and BN</t>
  </si>
  <si>
    <t>Total controlled scenarios</t>
  </si>
  <si>
    <t>Training plus controlled holdout</t>
  </si>
  <si>
    <t>Computational efficiency — linked to the timing summary</t>
  </si>
  <si>
    <t>Scenario</t>
  </si>
  <si>
    <t>Surrogate mean (s)</t>
  </si>
  <si>
    <t>BN mean (s)</t>
  </si>
  <si>
    <t>Speedup</t>
  </si>
  <si>
    <t>Evaluations per run</t>
  </si>
  <si>
    <t>Direct evaluation (without GA)</t>
  </si>
  <si>
    <t>Complete GA pipeline</t>
  </si>
  <si>
    <t>Speedup with GA</t>
  </si>
  <si>
    <t>Scientific interpretation</t>
  </si>
  <si>
    <t>• The surrogate closely approximates the Bayesian Network on both controlled training and held-out scenarios.</t>
  </si>
  <si>
    <t>• The very small train–holdout differences (Brier = 0.000047; MAE = 0.000270) indicate no substantial deterioration on the holdout, but they do not prove statistical equivalence.</t>
  </si>
  <si>
    <t>• In the real-team end-to-end evaluation, MAE = 0.04956 means that the expected adequacy score differs from the BN by approximately 4.96 percentage points on average.</t>
  </si>
  <si>
    <t>• The higher end-to-end errors are expected because real teams generate continuous technical scores outside the discrete calibration grid.</t>
  </si>
  <si>
    <t>• The runtime benchmark shows an approximately 19.69× speedup for direct evaluation and 21.69× for the complete GA pipeline under the original execution environment.</t>
  </si>
  <si>
    <t>• The similar total times with and without the GA indicate that evaluator calls dominate runtime under the fixed 210-evaluation protocol.</t>
  </si>
  <si>
    <t>• Brier Score and MAE measure surrogate fidelity and approximation error; they are not a conventional classification-accuracy percentage.</t>
  </si>
  <si>
    <t>• These results do not by themselves establish ranking preservation or equal BN-evaluated solution quality between the two GA modes; those require additional validation.</t>
  </si>
  <si>
    <t>Scope and reproducibility notes</t>
  </si>
  <si>
    <t>• The fidelity and timing studies are separate experiments: end-to-end fidelity used 6 projects and 1,200 teams; timing used 5 projects and 100 measurements.</t>
  </si>
  <si>
    <t>• Hardware and software-environment metadata were not recorded; absolute times characterize the original environment, while within-environment speedup ratios are the stronger comparative result.</t>
  </si>
  <si>
    <t>• Data/Dev_DB.json and Data/Graph_DB.json are currently absent from the local repository, so a complete rerun requires restoring these inputs.</t>
  </si>
  <si>
    <t>• The `Script reference` sheet contains an English-language adaptation with executable Python indentation; the canonical repository implementation remains Experimento_tempo_Sur_BN_GA/benchmark.py.</t>
  </si>
  <si>
    <t>Canonical repository files</t>
  </si>
  <si>
    <t>C:/projetos/STFP/Calibration_surrogate/BN_teacher/results_teacher_bn/best_params_teacher_bn.json</t>
  </si>
  <si>
    <t>C:/projetos/STFP/Calibration_surrogate/BN_teacher/results_teacher_bn/validation_test_20260315_150108.json</t>
  </si>
  <si>
    <t># benchmark.py</t>
  </si>
  <si>
    <t>C:/projetos/STFP/Calibration_surrogate/EndToEnd/results_end2end/summary.json</t>
  </si>
  <si>
    <t>C:/projetos/STFP/Experimento_tempo_Sur_BN_GA/results_tempo.csv</t>
  </si>
  <si>
    <t>C:/projetos/STFP/Experimento_tempo_Sur_BN_GA/benchmark.py</t>
  </si>
  <si>
    <t>Measurements</t>
  </si>
  <si>
    <t># Runtime experiment: 4 conditions × 5 projects × 5 rounds</t>
  </si>
  <si>
    <t>#</t>
  </si>
  <si>
    <t># C1 - Surrogate without GA → avaliar_equipe_surrogate  (Pipeline/evaluate_teams_sur.py)</t>
  </si>
  <si>
    <t># C2 - Surrogate with GA    → run_ga_com_config with evaluator=surrogate</t>
  </si>
  <si>
    <t># C3 - BN without GA        → avaliar_equipe            (Pipeline/evaluate_teams.py)</t>
  </si>
  <si>
    <t># C4 - BN with GA           → run_ga_com_config with evaluator=BN</t>
  </si>
  <si>
    <t># Output: results_tempo.csv  (columns: condition, project, round, time_s)</t>
  </si>
  <si>
    <t># ---------------------------------------------------------------------------</t>
  </si>
  <si>
    <t>from __future__ import annotations</t>
  </si>
  <si>
    <t>import sys, os, csv, time, random, io, contextlib</t>
  </si>
  <si>
    <t>from pathlib import Path</t>
  </si>
  <si>
    <t># Paths</t>
  </si>
  <si>
    <t>THIS     = Path(__file__).resolve()</t>
  </si>
  <si>
    <t>BASE_DIR = THIS.parents[1]          # .../STFP</t>
  </si>
  <si>
    <t>sys.path.insert(0, str(BASE_DIR))</t>
  </si>
  <si>
    <t># Experiment parameters</t>
  </si>
  <si>
    <t>N_ROUNDS   = 5      # rounds per (condition, project)</t>
  </si>
  <si>
    <t>TEAM_SIZE  = 4</t>
  </si>
  <si>
    <t>Evaluations/run</t>
  </si>
  <si>
    <t>GA_POP_SIZE = 10</t>
  </si>
  <si>
    <t>GA_GENS     = 20     # complete generations (early stopping disabled by stable_gens=9999)</t>
  </si>
  <si>
    <t>SEED_BASE   = 42</t>
  </si>
  <si>
    <t># Teams evaluated per round in the without-GA conditions:</t>
  </si>
  <si>
    <t># must equal the total number of GA evaluations = pop_size × (gens + 1)</t>
  </si>
  <si>
    <t>N_TEAMS_SEM_AG = GA_POP_SIZE * (GA_GENS + 1)   # 10 × 21 = 210</t>
  </si>
  <si>
    <t>OUTPUT_CSV = THIS.parent / "results_tempo.csv"</t>
  </si>
  <si>
    <t># Target projects</t>
  </si>
  <si>
    <t>PROJETOS = {</t>
  </si>
  <si>
    <t xml:space="preserve">    "P1": {</t>
  </si>
  <si>
    <t xml:space="preserve">        "dominio":     {"must": ["Desktop", "Web"], "should": ["Cloud"],  "could": ["Mobile"]},</t>
  </si>
  <si>
    <t xml:space="preserve">        "ecossistema": {"must": [".NET"],            "should": ["React"],  "could": ["MongoDB"]},</t>
  </si>
  <si>
    <t xml:space="preserve">        "linguagens":  {"must": ["C#"],              "should": ["JavaScript", "TypeScript"], "could": ["Python"]},</t>
  </si>
  <si>
    <t xml:space="preserve">    },</t>
  </si>
  <si>
    <t xml:space="preserve">    "P2": {</t>
  </si>
  <si>
    <t xml:space="preserve">        "dominio":     {"must": ["Mobile"],                    "should": ["Web"],   "could": ["Cloud"]},</t>
  </si>
  <si>
    <t xml:space="preserve">        "ecossistema": {"must": ["Android", "iOS/iPadOS"],     "should": ["React"], "could": [".NET"]},</t>
  </si>
  <si>
    <t xml:space="preserve">        "linguagens":  {"must": ["Kotlin", "Swift"],           "should": ["JavaScript", "TypeScript"], "could": ["Java", "C#"]},</t>
  </si>
  <si>
    <t xml:space="preserve">    "P3": {</t>
  </si>
  <si>
    <t xml:space="preserve">        "dominio":     {"must": ["IoT", "Cloud"],   "should": ["Web"],  "could": ["Desktop"]},</t>
  </si>
  <si>
    <t xml:space="preserve">        "ecossistema": {"must": ["AWS Lambda"],     "should": ["React", "Angular", "MongoDB"], "could": ["Android"]},</t>
  </si>
  <si>
    <t xml:space="preserve">        "linguagens":  {"must": ["Python", "C++"], "should": ["JavaScript"], "could": ["Java", "TypeScript"]},</t>
  </si>
  <si>
    <t xml:space="preserve">    "P4": {</t>
  </si>
  <si>
    <t xml:space="preserve">        "dominio":     {"must": ["Web"],      "should": ["Cloud"],            "could": ["Desktop"]},</t>
  </si>
  <si>
    <t xml:space="preserve">        "ecossistema": {"must": ["MongoDB"],  "should": ["Angular", "React"], "could": ["AWS Lambda"]},</t>
  </si>
  <si>
    <t xml:space="preserve">        "linguagens":  {"must": ["JavaScript"], "should": ["TypeScript", "Python"], "could": ["Java", "C#"]},</t>
  </si>
  <si>
    <t xml:space="preserve">    "P5": {</t>
  </si>
  <si>
    <t xml:space="preserve">        "dominio":     {"must": ["Web", "Cloud"],  "should": ["Mobile"], "could": ["Desktop"]},</t>
  </si>
  <si>
    <t xml:space="preserve">        "ecossistema": {"must": ["React", "AWS Lambda", "MongoDB"], "should": [".NET"], "could": ["Android"]},</t>
  </si>
  <si>
    <t xml:space="preserve">        "linguagens":  {"must": ["JavaScript", "TypeScript", "Python"], "should": ["C#", "Java"], "could": ["Kotlin", "Swift"]},</t>
  </si>
  <si>
    <t>}</t>
  </si>
  <si>
    <t># Imports</t>
  </si>
  <si>
    <t>print("[INIT] Loading evaluators and engine...", flush=True)</t>
  </si>
  <si>
    <t>from Pipeline.evaluate_teams     import avaliar_equipe            as _bn_eval</t>
  </si>
  <si>
    <t>from Pipeline.evaluate_teams_sur import avaliar_equipe_surrogate  as _sur_eval</t>
  </si>
  <si>
    <t>import Algorithms.GA.engine as _engine</t>
  </si>
  <si>
    <t>Population</t>
  </si>
  <si>
    <t>CANDIDATOS_IDS: list[int] = list(_engine.CANDIDATOS_IDS)</t>
  </si>
  <si>
    <t>print(f"[INIT] Candidates in the graph: {len(CANDIDATOS_IDS)}", flush=True)</t>
  </si>
  <si>
    <t>Full generations</t>
  </si>
  <si>
    <t>if len(CANDIDATOS_IDS) &lt; TEAM_SIZE:</t>
  </si>
  <si>
    <t xml:space="preserve">    raise RuntimeError(</t>
  </si>
  <si>
    <t>Cache / early stop</t>
  </si>
  <si>
    <t>disabled / disabled</t>
  </si>
  <si>
    <t xml:space="preserve">        f"Insufficient candidates in the graph ({len(CANDIDATOS_IDS)}) "</t>
  </si>
  <si>
    <t xml:space="preserve">        f"to form teams of size {TEAM_SIZE}."</t>
  </si>
  <si>
    <t xml:space="preserve">    )</t>
  </si>
  <si>
    <t># _NoCacheDict: dictionary that never reports hits — disables FITNESS_CACHE</t>
  </si>
  <si>
    <t>Protocol: four conditions × five projects × five rounds = 100 measurements. Each run performed 210 evaluator calls; warm-up was completed before timing; time.perf_counter() was used; cache and early stopping were disabled. Interpretation: the speedups are within-environment relative measurements. The paired mean-difference 95% confidence intervals for C2−C1 and C4−C3 include zero, but no equivalence test was performed. Hardware and software metadata were not recorded, and the observed project-level variability should not be assigned a causal explanation.</t>
  </si>
  <si>
    <t>class _NoCacheDict(dict):</t>
  </si>
  <si>
    <t xml:space="preserve">    """Replaces FITNESS_CACHE: accepts writes but never returns hits."""</t>
  </si>
  <si>
    <t xml:space="preserve">    def __contains__(self, key):  # pragma: no branch</t>
  </si>
  <si>
    <t xml:space="preserve">        return False</t>
  </si>
  <si>
    <t xml:space="preserve">    def __getitem__(self, key):</t>
  </si>
  <si>
    <t xml:space="preserve">        raise KeyError(key)</t>
  </si>
  <si>
    <t># _run_ga_full: reimplements the GA loop using engine internals,</t>
  </si>
  <si>
    <t>#               with configurable stable_gens and FITNESS_CACHE disabled.</t>
  </si>
  <si>
    <t>#               This avoids modifying any file outside this folder.</t>
  </si>
  <si>
    <t>def _run_ga_full(projeto_externo: dict, team_size: int, pop_size: int,</t>
  </si>
  <si>
    <t xml:space="preserve">                 geracoes: int, seed: int, stable_gens: int = 9999,</t>
  </si>
  <si>
    <t xml:space="preserve">                 log_eval: bool = False) -&gt; dict:</t>
  </si>
  <si>
    <t xml:space="preserve">    """</t>
  </si>
  <si>
    <t xml:space="preserve">    Runs the COMPLETE GA pipeline (all generations and individuals),</t>
  </si>
  <si>
    <t xml:space="preserve">    without FITNESS_CACHE or early stopping (stable_gens=9999).</t>
  </si>
  <si>
    <t xml:space="preserve">    Uses the internal engine operators (_build_next_population, avaliar_pop,</t>
  </si>
  <si>
    <t xml:space="preserve">    gerador_cromossomo) while directly controlling STABLE_GENS and the cache.</t>
  </si>
  <si>
    <t xml:space="preserve">    import random as _rand</t>
  </si>
  <si>
    <t xml:space="preserve">    _rand.seed(seed)</t>
  </si>
  <si>
    <t xml:space="preserve">    _engine.RUN_SUMMARY.clear()</t>
  </si>
  <si>
    <t xml:space="preserve">    # --- disables the cache for this run ---</t>
  </si>
  <si>
    <t xml:space="preserve">    _engine.FITNESS_CACHE = _NoCacheDict()</t>
  </si>
  <si>
    <t xml:space="preserve">    # --- configures engine globals used by the operators ---</t>
  </si>
  <si>
    <t xml:space="preserve">    _engine.PROJETO_ALVO = dict(projeto_externo)</t>
  </si>
  <si>
    <t xml:space="preserve">    _engine.PROJETO_ALVO["tamanhoEquipe"] = team_size</t>
  </si>
  <si>
    <t xml:space="preserve">    _engine.TAM_POP = pop_size</t>
  </si>
  <si>
    <t xml:space="preserve">    MIN_DELTA     = 1e-4</t>
  </si>
  <si>
    <t xml:space="preserve">    STABLE_GENS   = stable_gens   # 9999 → early stopping never triggers</t>
  </si>
  <si>
    <t xml:space="preserve">    t0 = time.perf_counter()</t>
  </si>
  <si>
    <t xml:space="preserve">    # Generation 0 — initial population</t>
  </si>
  <si>
    <t xml:space="preserve">    pop = [_engine.gerador_cromossomo() for _ in range(pop_size)]</t>
  </si>
  <si>
    <t xml:space="preserve">    pop = _engine.avaliar_pop(pop, 0, log_eval=log_eval, verbose=False)</t>
  </si>
  <si>
    <t xml:space="preserve">    best_ind       = max(pop, key=lambda x: x["fitness"])</t>
  </si>
  <si>
    <t xml:space="preserve">    best_ever      = best_ind["fitness"]</t>
  </si>
  <si>
    <t xml:space="preserve">    best_team_ever = list(best_ind["equipe"])</t>
  </si>
  <si>
    <t xml:space="preserve">    stable_count   = 0</t>
  </si>
  <si>
    <t xml:space="preserve">    stop_reason    = "max_gens"</t>
  </si>
  <si>
    <t xml:space="preserve">    last_gen       = 0</t>
  </si>
  <si>
    <t xml:space="preserve">    # Main loop</t>
  </si>
  <si>
    <t xml:space="preserve">    for g in range(1, geracoes + 1):</t>
  </si>
  <si>
    <t xml:space="preserve">        pop = _engine._build_next_population(pop, pop_size=pop_size,</t>
  </si>
  <si>
    <t xml:space="preserve">                                             elitism_k=_engine.ELITISMO)</t>
  </si>
  <si>
    <t xml:space="preserve">        pop = _engine.avaliar_pop(pop, g, log_eval=log_eval, verbose=False)</t>
  </si>
  <si>
    <t xml:space="preserve">        best_gen = max(pop, key=lambda x: x["fitness"])</t>
  </si>
  <si>
    <t xml:space="preserve">        if best_gen["fitness"] &gt; best_ever + MIN_DELTA:</t>
  </si>
  <si>
    <t xml:space="preserve">            best_ever      = best_gen["fitness"]</t>
  </si>
  <si>
    <t xml:space="preserve">            best_team_ever = list(best_gen["equipe"])</t>
  </si>
  <si>
    <t xml:space="preserve">            stable_count   = 0</t>
  </si>
  <si>
    <t xml:space="preserve">        else:</t>
  </si>
  <si>
    <t xml:space="preserve">            stable_count += 1</t>
  </si>
  <si>
    <t xml:space="preserve">        if stable_count &gt;= STABLE_GENS:</t>
  </si>
  <si>
    <t xml:space="preserve">            stop_reason = "stable_gens_no_improve"</t>
  </si>
  <si>
    <t xml:space="preserve">            last_gen    = g</t>
  </si>
  <si>
    <t xml:space="preserve">            break</t>
  </si>
  <si>
    <t xml:space="preserve">        last_gen = g</t>
  </si>
  <si>
    <t xml:space="preserve">    dur = time.perf_counter() - t0</t>
  </si>
  <si>
    <t xml:space="preserve">    return {</t>
  </si>
  <si>
    <t xml:space="preserve">        "best_team":    best_team_ever,</t>
  </si>
  <si>
    <t xml:space="preserve">        "best_fitness": best_ever,</t>
  </si>
  <si>
    <t xml:space="preserve">        "duration_sec": dur,</t>
  </si>
  <si>
    <t xml:space="preserve">        "gens_executed": last_gen,</t>
  </si>
  <si>
    <t xml:space="preserve">        "stop_reason":  stop_reason,</t>
  </si>
  <si>
    <t xml:space="preserve">    }</t>
  </si>
  <si>
    <t># Helpers</t>
  </si>
  <si>
    <t>def _silence():</t>
  </si>
  <si>
    <t xml:space="preserve">    return contextlib.redirect_stdout(io.StringIO())</t>
  </si>
  <si>
    <t># Warm-up: forces singleton creation before timing</t>
  </si>
  <si>
    <t># (uses _silence to absorb output containing non-cp1252 characters)</t>
  </si>
  <si>
    <t>print("[WARMUP] Initializing BN and Surrogate singletons...", flush=True)</t>
  </si>
  <si>
    <t>_wteam = random.sample(CANDIDATOS_IDS, TEAM_SIZE)</t>
  </si>
  <si>
    <t>_wp    = PROJETOS["P4"]</t>
  </si>
  <si>
    <t>with _silence():</t>
  </si>
  <si>
    <t xml:space="preserve">    _bn_eval(_wteam, _wp, log=False)</t>
  </si>
  <si>
    <t xml:space="preserve">    _sur_eval(_wteam, _wp, log=False)</t>
  </si>
  <si>
    <t>print("[WARMUP] OK", flush=True)</t>
  </si>
  <si>
    <t>def _gen_teams(seed: int, n: int) -&gt; list[list[int]]:</t>
  </si>
  <si>
    <t xml:space="preserve">    rng = random.Random(seed)</t>
  </si>
  <si>
    <t xml:space="preserve">    return [rng.sample(CANDIDATOS_IDS, TEAM_SIZE) for _ in range(n)]</t>
  </si>
  <si>
    <t># Without-GA conditions (C1, C3) — N_TEAMS_SEM_AG direct evaluations</t>
  </si>
  <si>
    <t>def run_c1_sur_noag(projeto: dict, seed: int) -&gt; float:</t>
  </si>
  <si>
    <t xml:space="preserve">    """C1: evaluates N_TEAMS_SEM_AG teams with the surrogate; returns time in seconds."""</t>
  </si>
  <si>
    <t xml:space="preserve">    teams = _gen_teams(seed, N_TEAMS_SEM_AG)</t>
  </si>
  <si>
    <t xml:space="preserve">    with _silence():</t>
  </si>
  <si>
    <t xml:space="preserve">        for t in teams:</t>
  </si>
  <si>
    <t xml:space="preserve">            _sur_eval(t, projeto, log=False)</t>
  </si>
  <si>
    <t xml:space="preserve">    return time.perf_counter() - t0</t>
  </si>
  <si>
    <t>def run_c3_bn_noag(projeto: dict, seed: int) -&gt; float:</t>
  </si>
  <si>
    <t xml:space="preserve">    """C3: evaluates N_TEAMS_SEM_AG teams with the BN; returns time in seconds."""</t>
  </si>
  <si>
    <t xml:space="preserve">            _bn_eval(t, projeto, log=False)</t>
  </si>
  <si>
    <t># With-GA conditions (C2, C4)</t>
  </si>
  <si>
    <t># COMPLETE pipeline: pop_size × (GA_GENS+1) actual evaluations,</t>
  </si>
  <si>
    <t># without FITNESS_CACHE or early stopping.</t>
  </si>
  <si>
    <t>def run_c2_sur_ag(projeto: dict, seed: int) -&gt; float:</t>
  </si>
  <si>
    <t xml:space="preserve">    """C2: GA with evaluator=surrogate, without caching or early stopping."""</t>
  </si>
  <si>
    <t xml:space="preserve">    # Injects the surrogate as the engine evaluator</t>
  </si>
  <si>
    <t xml:space="preserve">    _engine.avaliar_equipe = _sur_eval</t>
  </si>
  <si>
    <t xml:space="preserve">        resultado = _run_ga_full(</t>
  </si>
  <si>
    <t xml:space="preserve">            projeto_externo=projeto,</t>
  </si>
  <si>
    <t xml:space="preserve">            team_size=TEAM_SIZE,</t>
  </si>
  <si>
    <t xml:space="preserve">            pop_size=GA_POP_SIZE,</t>
  </si>
  <si>
    <t xml:space="preserve">            geracoes=GA_GENS,</t>
  </si>
  <si>
    <t xml:space="preserve">            seed=seed,</t>
  </si>
  <si>
    <t xml:space="preserve">            stable_gens=9999,        # disables early stopping</t>
  </si>
  <si>
    <t xml:space="preserve">        )</t>
  </si>
  <si>
    <t xml:space="preserve">    return resultado["duration_sec"]</t>
  </si>
  <si>
    <t>def run_c4_bn_ag(projeto: dict, seed: int) -&gt; float:</t>
  </si>
  <si>
    <t xml:space="preserve">    """C4: GA with evaluator=BN, without caching or early stopping."""</t>
  </si>
  <si>
    <t xml:space="preserve">    # Restores the BN evaluator in the engine</t>
  </si>
  <si>
    <t xml:space="preserve">    _engine.avaliar_equipe = _bn_eval</t>
  </si>
  <si>
    <t># Condition map</t>
  </si>
  <si>
    <t>CONDITIONS = {</t>
  </si>
  <si>
    <t xml:space="preserve">    "C1_Sur_noGA": run_c1_sur_noag,</t>
  </si>
  <si>
    <t xml:space="preserve">    "C2_Sur_withGA": run_c2_sur_ag,</t>
  </si>
  <si>
    <t xml:space="preserve">    "C3_BN_noGA":  run_c3_bn_noag,</t>
  </si>
  <si>
    <t xml:space="preserve">    "C4_BN_withGA":  run_c4_bn_ag,</t>
  </si>
  <si>
    <t># Main loop</t>
  </si>
  <si>
    <t>def main():</t>
  </si>
  <si>
    <t xml:space="preserve">    rows: list[dict] = []</t>
  </si>
  <si>
    <t xml:space="preserve">    total = len(CONDITIONS) * len(PROJETOS) * N_ROUNDS</t>
  </si>
  <si>
    <t xml:space="preserve">    done  = 0</t>
  </si>
  <si>
    <t xml:space="preserve">    print(f"\n[BENCH] Starting: {len(CONDITIONS)} conditions × "</t>
  </si>
  <si>
    <t xml:space="preserve">          f"{len(PROJETOS)} projects × {N_ROUNDS} rounds = {total} measurements")</t>
  </si>
  <si>
    <t xml:space="preserve">    print(f"[BENCH] N_TEAMS_SEM_AG={N_TEAMS_SEM_AG}  "</t>
  </si>
  <si>
    <t xml:space="preserve">          f"GA_POP_SIZE={GA_POP_SIZE}  GA_GENS={GA_GENS}  "</t>
  </si>
  <si>
    <t xml:space="preserve">          f"(actual GA evaluations per round = {GA_POP_SIZE*(GA_GENS+1)})\n")</t>
  </si>
  <si>
    <t xml:space="preserve">    for proj_id, proj_def in PROJETOS.items():</t>
  </si>
  <si>
    <t xml:space="preserve">        for cond_name, cond_fn in CONDITIONS.items():</t>
  </si>
  <si>
    <t xml:space="preserve">            for rodada in range(1, N_ROUNDS + 1):</t>
  </si>
  <si>
    <t xml:space="preserve">                seed = SEED_BASE + rodada * 100 + list(PROJETOS).index(proj_id)</t>
  </si>
  <si>
    <t xml:space="preserve">                try:</t>
  </si>
  <si>
    <t xml:space="preserve">                    elapsed = cond_fn(proj_def, seed)</t>
  </si>
  <si>
    <t xml:space="preserve">                    status  = "OK"</t>
  </si>
  <si>
    <t xml:space="preserve">                except Exception as exc:</t>
  </si>
  <si>
    <t xml:space="preserve">                    elapsed = float("nan")</t>
  </si>
  <si>
    <t xml:space="preserve">                    status  = f"ERROR: {exc}"</t>
  </si>
  <si>
    <t xml:space="preserve">                rows.append({</t>
  </si>
  <si>
    <t xml:space="preserve">                    "condition": cond_name,</t>
  </si>
  <si>
    <t xml:space="preserve">                    "project":   proj_id,</t>
  </si>
  <si>
    <t xml:space="preserve">                    "round":     rodada,</t>
  </si>
  <si>
    <t xml:space="preserve">                    "time_s":    f"{elapsed:.6f}",</t>
  </si>
  <si>
    <t xml:space="preserve">                })</t>
  </si>
  <si>
    <t xml:space="preserve">                done += 1</t>
  </si>
  <si>
    <t xml:space="preserve">                print(</t>
  </si>
  <si>
    <t xml:space="preserve">                    f"  [{done:3d}/{total}] {cond_name} | {proj_id} | "</t>
  </si>
  <si>
    <t xml:space="preserve">                    f"round {rodada} -&gt; {elapsed:.3f}s  {status}",</t>
  </si>
  <si>
    <t xml:space="preserve">                    flush=True,</t>
  </si>
  <si>
    <t xml:space="preserve">                )</t>
  </si>
  <si>
    <t xml:space="preserve">    # Saves CSV</t>
  </si>
  <si>
    <t xml:space="preserve">    with open(OUTPUT_CSV, "w", encoding="utf-8", newline="") as f:</t>
  </si>
  <si>
    <t xml:space="preserve">        writer = csv.DictWriter(f, fieldnames=["condition", "project", "round", "time_s"])</t>
  </si>
  <si>
    <t xml:space="preserve">        writer.writeheader()</t>
  </si>
  <si>
    <t xml:space="preserve">        writer.writerows(rows)</t>
  </si>
  <si>
    <t xml:space="preserve">    print(f"\n[OK] Results saved to: {OUTPUT_CSV}")</t>
  </si>
  <si>
    <t xml:space="preserve">    # Summary by condition</t>
  </si>
  <si>
    <t xml:space="preserve">    from collections import defaultdict</t>
  </si>
  <si>
    <t xml:space="preserve">    import statistics</t>
  </si>
  <si>
    <t xml:space="preserve">    by_cond: dict[str, list[float]] = defaultdict(list)</t>
  </si>
  <si>
    <t xml:space="preserve">    for r in rows:</t>
  </si>
  <si>
    <t xml:space="preserve">        try:</t>
  </si>
  <si>
    <t xml:space="preserve">            by_cond[r["condition"]].append(float(r["time_s"]))</t>
  </si>
  <si>
    <t xml:space="preserve">        except ValueError:</t>
  </si>
  <si>
    <t xml:space="preserve">            pass</t>
  </si>
  <si>
    <t xml:space="preserve">    print("\n=== SUMMARY (mean ± std by condition, all rounds and projects) ===")</t>
  </si>
  <si>
    <t xml:space="preserve">    for cond in CONDITIONS:</t>
  </si>
  <si>
    <t xml:space="preserve">        vals = by_cond.get(cond, [])</t>
  </si>
  <si>
    <t xml:space="preserve">        if not vals:</t>
  </si>
  <si>
    <t xml:space="preserve">            print(f"  {cond}: no data")</t>
  </si>
  <si>
    <t xml:space="preserve">            continue</t>
  </si>
  <si>
    <t xml:space="preserve">        m   = statistics.mean(vals)</t>
  </si>
  <si>
    <t xml:space="preserve">        std = statistics.stdev(vals) if len(vals) &gt; 1 else 0.0</t>
  </si>
  <si>
    <t xml:space="preserve">        print(f"  {cond}: {m:.3f}s ± {std:.3f}s  (n={len(vals)})")</t>
  </si>
  <si>
    <t xml:space="preserve">    print(f"\n[NOTE] C2 and C4 measure the COMPLETE GA pipeline: "</t>
  </si>
  <si>
    <t xml:space="preserve">          f"{GA_POP_SIZE*(GA_GENS+1)} actual evaluations (without caching or early stopping).")</t>
  </si>
  <si>
    <t xml:space="preserve">    print(f"       C1 and C3 measure {N_TEAMS_SEM_AG} direct evaluations (same volume).")</t>
  </si>
  <si>
    <t>if __name__ == "__main__":</t>
  </si>
  <si>
    <t xml:space="preserve">    main()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</si>
</sst>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000"/>
    <numFmt numFmtId="166" formatCode="0.00x"/>
    <numFmt numFmtId="167" formatCode="0.00&quot;×&quot;"/>
    <numFmt numFmtId="168" formatCode="0.000"/>
  </numFmts>
  <fonts count="29">
    <font>
      <sz val="10.0"/>
      <color rgb="FF000000"/>
      <name val="Arial"/>
      <scheme val="minor"/>
    </font>
    <font>
      <b/>
      <color rgb="FF111827"/>
      <name val="Arial"/>
    </font>
    <font>
      <color theme="1"/>
      <name val="Arial"/>
    </font>
    <font>
      <b/>
      <sz val="11.0"/>
      <color rgb="FF569CD6"/>
      <name val="Consolas"/>
    </font>
    <font>
      <b/>
      <sz val="11.0"/>
      <color rgb="FFD4D4D4"/>
      <name val="Consolas"/>
    </font>
    <font>
      <sz val="10.0"/>
      <color rgb="FF000000"/>
      <name val="Arial"/>
    </font>
    <font>
      <b/>
      <sz val="10.0"/>
      <color rgb="FFFFFFFF"/>
      <name val="Aptos"/>
    </font>
    <font>
      <i/>
      <sz val="10.0"/>
      <color rgb="FF334155"/>
      <name val="Aptos"/>
    </font>
    <font>
      <sz val="10.0"/>
      <color rgb="FF000000"/>
      <name val="Aptos"/>
    </font>
    <font>
      <b/>
      <sz val="11.0"/>
      <color rgb="FFCE9178"/>
      <name val="Consolas"/>
    </font>
    <font>
      <b/>
      <sz val="10.0"/>
      <color rgb="FF17365D"/>
      <name val="Aptos"/>
    </font>
    <font>
      <b/>
      <i/>
      <sz val="11.0"/>
      <color rgb="FFD4D4D4"/>
      <name val="Consolas"/>
    </font>
    <font>
      <b/>
      <i/>
      <sz val="11.0"/>
      <color rgb="FF569CD6"/>
      <name val="Consolas"/>
    </font>
    <font>
      <b/>
      <sz val="10.0"/>
      <color rgb="FFD4D4D4"/>
      <name val="Arial"/>
    </font>
    <font>
      <b/>
      <sz val="10.0"/>
      <color rgb="FFFFFFFF"/>
      <name val="Arial"/>
    </font>
    <font>
      <b/>
      <sz val="10.0"/>
      <color rgb="FF569CD6"/>
      <name val="Arial"/>
    </font>
    <font>
      <b/>
      <sz val="10.0"/>
      <color rgb="FF134E4A"/>
      <name val="Arial"/>
    </font>
    <font>
      <b/>
      <sz val="10.0"/>
      <color rgb="FF1E3A8A"/>
      <name val="Arial"/>
    </font>
    <font>
      <sz val="10.0"/>
      <color rgb="FF1F2937"/>
      <name val="Aptos"/>
    </font>
    <font>
      <sz val="10.0"/>
      <color rgb="FF334155"/>
      <name val="Aptos"/>
    </font>
    <font>
      <u/>
      <sz val="11.0"/>
      <color rgb="FF6A9955"/>
      <name val="Consolas"/>
    </font>
    <font>
      <sz val="11.0"/>
      <color rgb="FF6A9955"/>
      <name val="Consolas"/>
    </font>
    <font>
      <sz val="11.0"/>
      <color rgb="FFD4D4D4"/>
      <name val="Consolas"/>
    </font>
    <font>
      <sz val="11.0"/>
      <color rgb="FFB5CEA8"/>
      <name val="Consolas"/>
    </font>
    <font>
      <sz val="11.0"/>
      <color rgb="FFCE9178"/>
      <name val="Consolas"/>
    </font>
    <font>
      <sz val="10.0"/>
      <color rgb="FF374151"/>
      <name val="Arial"/>
    </font>
    <font>
      <sz val="11.0"/>
      <color rgb="FF569CD6"/>
      <name val="Consolas"/>
    </font>
    <font/>
    <font>
      <sz val="11.0"/>
      <color rgb="FFC586C0"/>
      <name val="Consolas"/>
    </font>
  </fonts>
  <fills count="15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1E1E1E"/>
        <bgColor rgb="FF1E1E1E"/>
      </patternFill>
    </fill>
    <fill>
      <patternFill patternType="solid">
        <fgColor rgb="FF17365D"/>
        <bgColor rgb="FF17365D"/>
      </patternFill>
    </fill>
    <fill>
      <patternFill patternType="solid">
        <fgColor rgb="FFEAF0F6"/>
        <bgColor rgb="FFEAF0F6"/>
      </patternFill>
    </fill>
    <fill>
      <patternFill patternType="solid">
        <fgColor rgb="FFD9EAF7"/>
        <bgColor rgb="FFD9EAF7"/>
      </patternFill>
    </fill>
    <fill>
      <patternFill patternType="solid">
        <fgColor rgb="FFF3F6F9"/>
        <bgColor rgb="FFF3F6F9"/>
      </patternFill>
    </fill>
    <fill>
      <patternFill patternType="solid">
        <fgColor rgb="FF0F766E"/>
        <bgColor rgb="FF0F766E"/>
      </patternFill>
    </fill>
    <fill>
      <patternFill patternType="solid">
        <fgColor rgb="FF1D4ED8"/>
        <bgColor rgb="FF1D4ED8"/>
      </patternFill>
    </fill>
    <fill>
      <patternFill patternType="solid">
        <fgColor rgb="FFD9EDE9"/>
        <bgColor rgb="FFD9EDE9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DDEBF7"/>
        <bgColor rgb="FFDDEBF7"/>
      </patternFill>
    </fill>
    <fill>
      <patternFill patternType="solid">
        <fgColor rgb="FFF3F4F6"/>
        <bgColor rgb="FFF3F4F6"/>
      </patternFill>
    </fill>
  </fills>
  <borders count="18">
    <border/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</border>
    <border>
      <bottom style="double">
        <color rgb="FF5F8F89"/>
      </bottom>
    </border>
    <border>
      <right style="thin">
        <color rgb="FFD1D5DB"/>
      </right>
      <bottom style="thin">
        <color rgb="FFD1D5DB"/>
      </bottom>
    </border>
    <border>
      <left style="thin">
        <color rgb="FFD1D5DB"/>
      </left>
      <right style="thin">
        <color rgb="FFD1D5DB"/>
      </right>
      <bottom style="thin">
        <color rgb="FFD1D5DB"/>
      </bottom>
    </border>
    <border>
      <left style="thin">
        <color rgb="FFD1D5DB"/>
      </left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</border>
    <border>
      <left style="thin">
        <color rgb="FFD1D5DB"/>
      </left>
      <right style="thin">
        <color rgb="FFD1D5DB"/>
      </right>
      <top style="thin">
        <color rgb="FFD1D5DB"/>
      </top>
    </border>
    <border>
      <left style="thin">
        <color rgb="FFD1D5DB"/>
      </left>
      <top style="thin">
        <color rgb="FFD1D5DB"/>
      </top>
    </border>
    <border>
      <left style="thin">
        <color rgb="FF9CA3AF"/>
      </left>
      <top style="thin">
        <color rgb="FF9CA3AF"/>
      </top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left style="thin">
        <color rgb="FF9CA3AF"/>
      </left>
      <bottom style="thin">
        <color rgb="FF9CA3AF"/>
      </bottom>
    </border>
    <border>
      <bottom style="thin">
        <color rgb="FF9CA3AF"/>
      </bottom>
    </border>
    <border>
      <right style="thin">
        <color rgb="FF9CA3AF"/>
      </right>
      <bottom style="thin">
        <color rgb="FF9CA3A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3" fontId="3" numFmtId="0" xfId="0" applyFill="1" applyFont="1"/>
    <xf borderId="0" fillId="3" fontId="4" numFmtId="0" xfId="0" applyFill="1" applyFont="1"/>
    <xf borderId="0" fillId="0" fontId="5" numFmtId="0" xfId="0" applyAlignment="1" applyFont="1">
      <alignment shrinkToFit="0" vertical="bottom" wrapText="0"/>
    </xf>
    <xf borderId="0" fillId="0" fontId="2" numFmtId="1" xfId="0" applyFont="1" applyNumberFormat="1"/>
    <xf borderId="0" fillId="0" fontId="2" numFmtId="164" xfId="0" applyFont="1" applyNumberFormat="1"/>
    <xf borderId="0" fillId="4" fontId="6" numFmtId="0" xfId="0" applyAlignment="1" applyFill="1" applyFont="1">
      <alignment horizontal="center" shrinkToFit="0" vertical="center" wrapText="1"/>
    </xf>
    <xf borderId="0" fillId="3" fontId="4" numFmtId="0" xfId="0" applyAlignment="1" applyFill="1" applyFont="1">
      <alignment shrinkToFit="0" wrapText="1"/>
    </xf>
    <xf borderId="0" fillId="5" fontId="7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4" fontId="6" numFmtId="0" xfId="0" applyAlignment="1" applyFill="1" applyFont="1">
      <alignment horizontal="left" shrinkToFit="0" vertical="center" wrapText="1"/>
    </xf>
    <xf borderId="0" fillId="3" fontId="9" numFmtId="0" xfId="0" applyFill="1" applyFont="1"/>
    <xf borderId="1" fillId="6" fontId="10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shrinkToFit="0" vertical="center" wrapText="1"/>
    </xf>
    <xf borderId="1" fillId="7" fontId="8" numFmtId="165" xfId="0" applyAlignment="1" applyBorder="1" applyFill="1" applyFont="1" applyNumberFormat="1">
      <alignment shrinkToFit="0" vertical="center" wrapText="1"/>
    </xf>
    <xf borderId="1" fillId="7" fontId="8" numFmtId="3" xfId="0" applyAlignment="1" applyBorder="1" applyFill="1" applyFont="1" applyNumberFormat="1">
      <alignment shrinkToFit="0" vertical="center" wrapText="1"/>
    </xf>
    <xf borderId="0" fillId="3" fontId="11" numFmtId="0" xfId="0" applyFill="1" applyFont="1"/>
    <xf borderId="0" fillId="3" fontId="12" numFmtId="0" xfId="0" applyFill="1" applyFont="1"/>
    <xf borderId="0" fillId="3" fontId="13" numFmtId="0" xfId="0" applyAlignment="1" applyFill="1" applyFont="1">
      <alignment shrinkToFit="0" vertical="bottom" wrapText="0"/>
    </xf>
    <xf borderId="0" fillId="8" fontId="14" numFmtId="0" xfId="0" applyAlignment="1" applyFill="1" applyFont="1">
      <alignment horizontal="left" shrinkToFit="0" vertical="bottom" wrapText="0"/>
    </xf>
    <xf borderId="0" fillId="3" fontId="15" numFmtId="0" xfId="0" applyAlignment="1" applyFill="1" applyFont="1">
      <alignment shrinkToFit="0" vertical="bottom" wrapText="0"/>
    </xf>
    <xf borderId="0" fillId="9" fontId="14" numFmtId="0" xfId="0" applyAlignment="1" applyFill="1" applyFont="1">
      <alignment shrinkToFit="0" vertical="bottom" wrapText="0"/>
    </xf>
    <xf borderId="0" fillId="3" fontId="13" numFmtId="0" xfId="0" applyAlignment="1" applyFill="1" applyFont="1">
      <alignment shrinkToFit="0" vertical="bottom" wrapText="1"/>
    </xf>
    <xf borderId="2" fillId="10" fontId="16" numFmtId="0" xfId="0" applyAlignment="1" applyBorder="1" applyFill="1" applyFont="1">
      <alignment shrinkToFit="0" vertical="bottom" wrapText="0"/>
    </xf>
    <xf borderId="0" fillId="11" fontId="17" numFmtId="0" xfId="0" applyAlignment="1" applyFill="1" applyFont="1">
      <alignment shrinkToFit="0" vertical="bottom" wrapText="0"/>
    </xf>
    <xf borderId="1" fillId="7" fontId="8" numFmtId="2" xfId="0" applyAlignment="1" applyBorder="1" applyFill="1" applyFont="1" applyNumberFormat="1">
      <alignment shrinkToFit="0" vertical="center" wrapText="1"/>
    </xf>
    <xf borderId="0" fillId="0" fontId="5" numFmtId="166" xfId="0" applyAlignment="1" applyFont="1" applyNumberForma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4" fillId="0" fontId="5" numFmtId="1" xfId="0" applyAlignment="1" applyBorder="1" applyFont="1" applyNumberFormat="1">
      <alignment shrinkToFit="0" vertical="bottom" wrapText="0"/>
    </xf>
    <xf borderId="4" fillId="0" fontId="5" numFmtId="164" xfId="0" applyAlignment="1" applyBorder="1" applyFont="1" applyNumberFormat="1">
      <alignment shrinkToFit="0" vertical="bottom" wrapText="0"/>
    </xf>
    <xf borderId="1" fillId="7" fontId="8" numFmtId="164" xfId="0" applyAlignment="1" applyBorder="1" applyFill="1" applyFont="1" applyNumberFormat="1">
      <alignment shrinkToFit="0" vertical="center" wrapText="1"/>
    </xf>
    <xf borderId="1" fillId="7" fontId="8" numFmtId="167" xfId="0" applyAlignment="1" applyBorder="1" applyFill="1" applyFont="1" applyNumberFormat="1">
      <alignment shrinkToFit="0" vertical="center" wrapText="1"/>
    </xf>
    <xf borderId="5" fillId="0" fontId="5" numFmtId="168" xfId="0" applyAlignment="1" applyBorder="1" applyFont="1" applyNumberForma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7" fillId="0" fontId="5" numFmtId="1" xfId="0" applyAlignment="1" applyBorder="1" applyFont="1" applyNumberFormat="1">
      <alignment shrinkToFit="0" vertical="bottom" wrapText="0"/>
    </xf>
    <xf borderId="0" fillId="12" fontId="18" numFmtId="0" xfId="0" applyAlignment="1" applyFill="1" applyFont="1">
      <alignment shrinkToFit="0" vertical="center" wrapText="1"/>
    </xf>
    <xf borderId="7" fillId="0" fontId="5" numFmtId="164" xfId="0" applyAlignment="1" applyBorder="1" applyFont="1" applyNumberFormat="1">
      <alignment shrinkToFit="0" vertical="bottom" wrapText="0"/>
    </xf>
    <xf borderId="0" fillId="13" fontId="18" numFmtId="0" xfId="0" applyAlignment="1" applyFill="1" applyFont="1">
      <alignment shrinkToFit="0" vertical="center" wrapText="1"/>
    </xf>
    <xf borderId="0" fillId="12" fontId="19" numFmtId="0" xfId="0" applyAlignment="1" applyFill="1" applyFont="1">
      <alignment shrinkToFit="0" vertical="center" wrapText="1"/>
    </xf>
    <xf borderId="8" fillId="0" fontId="5" numFmtId="168" xfId="0" applyAlignment="1" applyBorder="1" applyFont="1" applyNumberForma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3" fontId="20" numFmtId="0" xfId="0" applyFill="1" applyFont="1"/>
    <xf borderId="0" fillId="3" fontId="21" numFmtId="0" xfId="0" applyFill="1" applyFont="1"/>
    <xf borderId="0" fillId="3" fontId="22" numFmtId="0" xfId="0" applyFill="1" applyFont="1"/>
    <xf borderId="0" fillId="3" fontId="23" numFmtId="0" xfId="0" applyFill="1" applyFont="1"/>
    <xf borderId="9" fillId="0" fontId="5" numFmtId="0" xfId="0" applyAlignment="1" applyBorder="1" applyFont="1">
      <alignment shrinkToFit="0" vertical="bottom" wrapText="0"/>
    </xf>
    <xf borderId="0" fillId="3" fontId="24" numFmtId="0" xfId="0" applyFill="1" applyFont="1"/>
    <xf borderId="10" fillId="0" fontId="5" numFmtId="1" xfId="0" applyAlignment="1" applyBorder="1" applyFont="1" applyNumberFormat="1">
      <alignment shrinkToFit="0" vertical="bottom" wrapText="0"/>
    </xf>
    <xf borderId="10" fillId="0" fontId="5" numFmtId="164" xfId="0" applyAlignment="1" applyBorder="1" applyFont="1" applyNumberFormat="1">
      <alignment shrinkToFit="0" vertical="bottom" wrapText="0"/>
    </xf>
    <xf borderId="11" fillId="0" fontId="5" numFmtId="168" xfId="0" applyAlignment="1" applyBorder="1" applyFont="1" applyNumberFormat="1">
      <alignment shrinkToFit="0" vertical="bottom" wrapText="0"/>
    </xf>
    <xf borderId="12" fillId="14" fontId="25" numFmtId="0" xfId="0" applyAlignment="1" applyBorder="1" applyFill="1" applyFont="1">
      <alignment shrinkToFit="0" vertical="top" wrapText="1"/>
    </xf>
    <xf borderId="0" fillId="3" fontId="26" numFmtId="0" xfId="0" applyFill="1" applyFont="1"/>
    <xf borderId="13" fillId="0" fontId="27" numFmtId="0" xfId="0" applyBorder="1" applyFont="1"/>
    <xf borderId="14" fillId="0" fontId="27" numFmtId="0" xfId="0" applyBorder="1" applyFont="1"/>
    <xf borderId="15" fillId="0" fontId="27" numFmtId="0" xfId="0" applyBorder="1" applyFont="1"/>
    <xf borderId="16" fillId="0" fontId="27" numFmtId="0" xfId="0" applyBorder="1" applyFont="1"/>
    <xf borderId="17" fillId="0" fontId="27" numFmtId="0" xfId="0" applyBorder="1" applyFont="1"/>
    <xf borderId="0" fillId="3" fontId="28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benchmark.py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5.0"/>
    <col customWidth="1" min="2" max="6" width="12.63"/>
  </cols>
  <sheetData>
    <row r="1" ht="15.75" customHeight="1">
      <c r="A1" s="3" t="s">
        <v>1</v>
      </c>
    </row>
    <row r="2" ht="15.75" customHeight="1">
      <c r="A2" s="3"/>
    </row>
    <row r="3" ht="15.75" customHeight="1">
      <c r="A3" s="4" t="s">
        <v>10</v>
      </c>
    </row>
    <row r="4" ht="15.75" customHeight="1">
      <c r="A4" s="4"/>
    </row>
    <row r="5" ht="15.75" customHeight="1">
      <c r="A5" s="3" t="s">
        <v>13</v>
      </c>
    </row>
    <row r="6" ht="15.75" customHeight="1">
      <c r="A6" s="3"/>
    </row>
    <row r="7" ht="15.75" customHeight="1">
      <c r="A7" s="4" t="s">
        <v>14</v>
      </c>
    </row>
    <row r="8" ht="15.75" customHeight="1">
      <c r="A8" s="4" t="s">
        <v>16</v>
      </c>
    </row>
    <row r="9" ht="15.75" customHeight="1">
      <c r="A9" s="4" t="s">
        <v>17</v>
      </c>
    </row>
    <row r="10" ht="15.75" customHeight="1">
      <c r="A10" s="4" t="s">
        <v>18</v>
      </c>
    </row>
    <row r="11" ht="15.75" customHeight="1">
      <c r="A11" s="4" t="s">
        <v>19</v>
      </c>
    </row>
    <row r="12" ht="15.75" customHeight="1">
      <c r="A12" s="4" t="s">
        <v>20</v>
      </c>
    </row>
    <row r="13" ht="15.75" customHeight="1">
      <c r="A13" s="4"/>
    </row>
    <row r="14" ht="30.0" customHeight="1">
      <c r="A14" s="9" t="s">
        <v>24</v>
      </c>
    </row>
    <row r="15" ht="30.0" customHeight="1">
      <c r="A15" s="9" t="s">
        <v>26</v>
      </c>
    </row>
    <row r="16" ht="15.75" customHeight="1">
      <c r="A16" s="4"/>
    </row>
    <row r="17" ht="15.75" customHeight="1">
      <c r="A17" s="3" t="s">
        <v>29</v>
      </c>
    </row>
    <row r="18" ht="15.75" customHeight="1">
      <c r="A18" s="3"/>
    </row>
    <row r="19" ht="15.75" customHeight="1">
      <c r="A19" s="4" t="s">
        <v>31</v>
      </c>
    </row>
    <row r="20" ht="15.75" customHeight="1">
      <c r="A20" s="4" t="s">
        <v>33</v>
      </c>
    </row>
    <row r="21" ht="15.75" customHeight="1">
      <c r="A21" s="3" t="s">
        <v>34</v>
      </c>
    </row>
    <row r="22" ht="15.75" customHeight="1">
      <c r="A22" s="3"/>
    </row>
    <row r="23" ht="15.75" customHeight="1">
      <c r="A23" s="3" t="s">
        <v>35</v>
      </c>
    </row>
    <row r="24" ht="15.75" customHeight="1">
      <c r="A24" s="3"/>
    </row>
    <row r="25" ht="15.75" customHeight="1">
      <c r="A25" s="4" t="s">
        <v>36</v>
      </c>
    </row>
    <row r="26" ht="15.75" customHeight="1">
      <c r="A26" s="4"/>
    </row>
    <row r="27" ht="15.75" customHeight="1">
      <c r="A27" s="4" t="s">
        <v>38</v>
      </c>
    </row>
    <row r="28" ht="15.75" customHeight="1">
      <c r="A28" s="13" t="s">
        <v>39</v>
      </c>
    </row>
    <row r="29" ht="15.75" customHeight="1">
      <c r="A29" s="4" t="s">
        <v>41</v>
      </c>
    </row>
    <row r="30" ht="15.75" customHeight="1">
      <c r="A30" s="4"/>
    </row>
    <row r="31" ht="15.75" customHeight="1">
      <c r="A31" s="4" t="s">
        <v>46</v>
      </c>
    </row>
    <row r="32" ht="15.75" customHeight="1">
      <c r="A32" s="4"/>
    </row>
    <row r="33" ht="15.75" customHeight="1">
      <c r="A33" s="4" t="s">
        <v>38</v>
      </c>
    </row>
    <row r="34" ht="15.75" customHeight="1">
      <c r="A34" s="13" t="s">
        <v>51</v>
      </c>
    </row>
    <row r="35" ht="15.75" customHeight="1">
      <c r="A35" s="13" t="s">
        <v>53</v>
      </c>
    </row>
    <row r="36" ht="15.75" customHeight="1">
      <c r="A36" s="4" t="s">
        <v>41</v>
      </c>
    </row>
    <row r="37" ht="15.75" customHeight="1">
      <c r="A37" s="4"/>
    </row>
    <row r="38" ht="15.75" customHeight="1">
      <c r="A38" s="3" t="s">
        <v>54</v>
      </c>
    </row>
    <row r="39" ht="15.75" customHeight="1">
      <c r="A39" s="3"/>
    </row>
    <row r="40" ht="15.75" customHeight="1">
      <c r="A40" s="4" t="s">
        <v>56</v>
      </c>
    </row>
    <row r="41" ht="15.75" customHeight="1">
      <c r="A41" s="4"/>
    </row>
    <row r="42" ht="15.75" customHeight="1">
      <c r="A42" s="4" t="s">
        <v>59</v>
      </c>
    </row>
    <row r="43" ht="15.75" customHeight="1">
      <c r="A43" s="4" t="s">
        <v>60</v>
      </c>
    </row>
    <row r="44" ht="15.75" customHeight="1">
      <c r="A44" s="4" t="s">
        <v>63</v>
      </c>
    </row>
    <row r="45" ht="15.75" customHeight="1">
      <c r="A45" s="4" t="s">
        <v>65</v>
      </c>
    </row>
    <row r="46" ht="15.75" customHeight="1">
      <c r="A46" s="4" t="s">
        <v>66</v>
      </c>
    </row>
    <row r="47" ht="15.75" customHeight="1">
      <c r="A47" s="4" t="s">
        <v>68</v>
      </c>
    </row>
    <row r="48" ht="15.75" customHeight="1">
      <c r="A48" s="4"/>
    </row>
    <row r="49" ht="15.75" customHeight="1">
      <c r="A49" s="4" t="s">
        <v>72</v>
      </c>
    </row>
    <row r="50" ht="15.75" customHeight="1">
      <c r="A50" s="4"/>
    </row>
    <row r="51" ht="15.75" customHeight="1">
      <c r="A51" s="3" t="s">
        <v>76</v>
      </c>
    </row>
    <row r="52" ht="15.75" customHeight="1">
      <c r="A52" s="3"/>
    </row>
    <row r="53" ht="15.75" customHeight="1">
      <c r="A53" s="4" t="s">
        <v>77</v>
      </c>
    </row>
    <row r="54" ht="15.75" customHeight="1">
      <c r="A54" s="4" t="s">
        <v>79</v>
      </c>
    </row>
    <row r="55" ht="15.75" customHeight="1">
      <c r="A55" s="4"/>
    </row>
    <row r="56" ht="15.75" customHeight="1">
      <c r="A56" s="13" t="s">
        <v>82</v>
      </c>
    </row>
    <row r="57" ht="15.75" customHeight="1">
      <c r="A57" s="13" t="s">
        <v>84</v>
      </c>
    </row>
    <row r="58" ht="15.75" customHeight="1">
      <c r="A58" s="13" t="s">
        <v>86</v>
      </c>
    </row>
    <row r="59" ht="15.75" customHeight="1">
      <c r="A59" s="13" t="s">
        <v>87</v>
      </c>
    </row>
    <row r="60" ht="15.75" customHeight="1">
      <c r="A60" s="18" t="s">
        <v>88</v>
      </c>
    </row>
    <row r="61" ht="15.75" customHeight="1">
      <c r="A61" s="18"/>
    </row>
    <row r="62" ht="15.75" customHeight="1">
      <c r="A62" s="19" t="s">
        <v>89</v>
      </c>
    </row>
    <row r="63" ht="15.75" customHeight="1">
      <c r="A63" s="19"/>
    </row>
    <row r="64" ht="15.75" customHeight="1">
      <c r="A64" s="18" t="s">
        <v>90</v>
      </c>
    </row>
    <row r="65" ht="15.75" customHeight="1">
      <c r="A65" s="18" t="s">
        <v>91</v>
      </c>
    </row>
    <row r="66" ht="15.75" customHeight="1">
      <c r="A66" s="18" t="s">
        <v>92</v>
      </c>
    </row>
    <row r="67" ht="15.75" customHeight="1">
      <c r="A67" s="18" t="s">
        <v>93</v>
      </c>
    </row>
    <row r="68" ht="15.75" customHeight="1">
      <c r="A68" s="18" t="s">
        <v>94</v>
      </c>
    </row>
    <row r="69" ht="15.75" customHeight="1">
      <c r="A69" s="18" t="s">
        <v>95</v>
      </c>
    </row>
    <row r="70" ht="15.75" customHeight="1">
      <c r="A70" s="18" t="s">
        <v>97</v>
      </c>
    </row>
    <row r="71" ht="15.75" customHeight="1">
      <c r="A71" s="18" t="s">
        <v>98</v>
      </c>
    </row>
    <row r="72" ht="15.75" customHeight="1">
      <c r="A72" s="18"/>
    </row>
    <row r="73" ht="15.75" customHeight="1">
      <c r="A73" s="20"/>
    </row>
    <row r="74" ht="15.75" customHeight="1">
      <c r="A74" s="22" t="s">
        <v>101</v>
      </c>
    </row>
    <row r="75" ht="15.75" customHeight="1">
      <c r="A75" s="20"/>
    </row>
    <row r="76" ht="27.75" customHeight="1">
      <c r="A76" s="24" t="s">
        <v>104</v>
      </c>
    </row>
    <row r="77" ht="27.75" customHeight="1">
      <c r="A77" s="24" t="s">
        <v>105</v>
      </c>
    </row>
    <row r="78" ht="27.75" customHeight="1">
      <c r="A78" s="24" t="s">
        <v>106</v>
      </c>
    </row>
    <row r="79" ht="27.75" customHeight="1">
      <c r="A79" s="24" t="s">
        <v>107</v>
      </c>
    </row>
    <row r="80" ht="48.0" customHeight="1">
      <c r="A80" s="24" t="s">
        <v>109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6" width="12.63"/>
  </cols>
  <sheetData>
    <row r="1" ht="15.75" customHeight="1">
      <c r="A1" s="2" t="s">
        <v>0</v>
      </c>
      <c r="B1" s="2" t="s">
        <v>2</v>
      </c>
      <c r="C1" s="2" t="s">
        <v>4</v>
      </c>
      <c r="D1" s="2" t="s">
        <v>5</v>
      </c>
    </row>
    <row r="2" ht="15.75" customHeight="1">
      <c r="A2" s="2" t="s">
        <v>7</v>
      </c>
      <c r="B2" s="2" t="s">
        <v>8</v>
      </c>
      <c r="C2" s="2">
        <v>1.0</v>
      </c>
      <c r="D2" s="2">
        <v>0.352295</v>
      </c>
    </row>
    <row r="3" ht="15.75" customHeight="1">
      <c r="A3" s="2" t="s">
        <v>7</v>
      </c>
      <c r="B3" s="2" t="s">
        <v>8</v>
      </c>
      <c r="C3" s="2">
        <v>2.0</v>
      </c>
      <c r="D3" s="2">
        <v>0.647793</v>
      </c>
    </row>
    <row r="4" ht="15.75" customHeight="1">
      <c r="A4" s="2" t="s">
        <v>7</v>
      </c>
      <c r="B4" s="2" t="s">
        <v>8</v>
      </c>
      <c r="C4" s="2">
        <v>3.0</v>
      </c>
      <c r="D4" s="2">
        <v>0.49696</v>
      </c>
    </row>
    <row r="5" ht="15.75" customHeight="1">
      <c r="A5" s="2" t="s">
        <v>7</v>
      </c>
      <c r="B5" s="2" t="s">
        <v>8</v>
      </c>
      <c r="C5" s="2">
        <v>4.0</v>
      </c>
      <c r="D5" s="2">
        <v>0.464684</v>
      </c>
    </row>
    <row r="6" ht="15.75" customHeight="1">
      <c r="A6" s="2" t="s">
        <v>7</v>
      </c>
      <c r="B6" s="2" t="s">
        <v>8</v>
      </c>
      <c r="C6" s="2">
        <v>5.0</v>
      </c>
      <c r="D6" s="2">
        <v>0.569036</v>
      </c>
    </row>
    <row r="7" ht="15.75" customHeight="1">
      <c r="A7" s="2" t="s">
        <v>15</v>
      </c>
      <c r="B7" s="2" t="s">
        <v>8</v>
      </c>
      <c r="C7" s="2">
        <v>1.0</v>
      </c>
      <c r="D7" s="2">
        <v>0.501862</v>
      </c>
    </row>
    <row r="8" ht="15.75" customHeight="1">
      <c r="A8" s="2" t="s">
        <v>15</v>
      </c>
      <c r="B8" s="2" t="s">
        <v>8</v>
      </c>
      <c r="C8" s="2">
        <v>2.0</v>
      </c>
      <c r="D8" s="2">
        <v>0.693221</v>
      </c>
    </row>
    <row r="9" ht="15.75" customHeight="1">
      <c r="A9" s="2" t="s">
        <v>15</v>
      </c>
      <c r="B9" s="2" t="s">
        <v>8</v>
      </c>
      <c r="C9" s="2">
        <v>3.0</v>
      </c>
      <c r="D9" s="2">
        <v>0.636074</v>
      </c>
    </row>
    <row r="10" ht="15.75" customHeight="1">
      <c r="A10" s="2" t="s">
        <v>15</v>
      </c>
      <c r="B10" s="2" t="s">
        <v>8</v>
      </c>
      <c r="C10" s="2">
        <v>4.0</v>
      </c>
      <c r="D10" s="2">
        <v>0.477995</v>
      </c>
    </row>
    <row r="11" ht="15.75" customHeight="1">
      <c r="A11" s="2" t="s">
        <v>15</v>
      </c>
      <c r="B11" s="2" t="s">
        <v>8</v>
      </c>
      <c r="C11" s="2">
        <v>5.0</v>
      </c>
      <c r="D11" s="2">
        <v>0.490472</v>
      </c>
    </row>
    <row r="12" ht="15.75" customHeight="1">
      <c r="A12" s="2" t="s">
        <v>21</v>
      </c>
      <c r="B12" s="2" t="s">
        <v>8</v>
      </c>
      <c r="C12" s="2">
        <v>1.0</v>
      </c>
      <c r="D12" s="2">
        <v>8.256687</v>
      </c>
    </row>
    <row r="13" ht="15.75" customHeight="1">
      <c r="A13" s="2" t="s">
        <v>21</v>
      </c>
      <c r="B13" s="2" t="s">
        <v>8</v>
      </c>
      <c r="C13" s="2">
        <v>2.0</v>
      </c>
      <c r="D13" s="2">
        <v>11.633613</v>
      </c>
    </row>
    <row r="14" ht="15.75" customHeight="1">
      <c r="A14" s="2" t="s">
        <v>21</v>
      </c>
      <c r="B14" s="2" t="s">
        <v>8</v>
      </c>
      <c r="C14" s="2">
        <v>3.0</v>
      </c>
      <c r="D14" s="2">
        <v>13.714804</v>
      </c>
    </row>
    <row r="15" ht="15.75" customHeight="1">
      <c r="A15" s="2" t="s">
        <v>21</v>
      </c>
      <c r="B15" s="2" t="s">
        <v>8</v>
      </c>
      <c r="C15" s="2">
        <v>4.0</v>
      </c>
      <c r="D15" s="2">
        <v>13.568938</v>
      </c>
    </row>
    <row r="16" ht="15.75" customHeight="1">
      <c r="A16" s="2" t="s">
        <v>21</v>
      </c>
      <c r="B16" s="2" t="s">
        <v>8</v>
      </c>
      <c r="C16" s="2">
        <v>5.0</v>
      </c>
      <c r="D16" s="2">
        <v>14.544671</v>
      </c>
    </row>
    <row r="17" ht="15.75" customHeight="1">
      <c r="A17" s="2" t="s">
        <v>30</v>
      </c>
      <c r="B17" s="2" t="s">
        <v>8</v>
      </c>
      <c r="C17" s="2">
        <v>1.0</v>
      </c>
      <c r="D17" s="2">
        <v>13.206175</v>
      </c>
    </row>
    <row r="18" ht="15.75" customHeight="1">
      <c r="A18" s="2" t="s">
        <v>30</v>
      </c>
      <c r="B18" s="2" t="s">
        <v>8</v>
      </c>
      <c r="C18" s="2">
        <v>2.0</v>
      </c>
      <c r="D18" s="2">
        <v>13.840669</v>
      </c>
    </row>
    <row r="19" ht="15.75" customHeight="1">
      <c r="A19" s="2" t="s">
        <v>30</v>
      </c>
      <c r="B19" s="2" t="s">
        <v>8</v>
      </c>
      <c r="C19" s="2">
        <v>3.0</v>
      </c>
      <c r="D19" s="2">
        <v>14.498634</v>
      </c>
    </row>
    <row r="20" ht="15.75" customHeight="1">
      <c r="A20" s="2" t="s">
        <v>30</v>
      </c>
      <c r="B20" s="2" t="s">
        <v>8</v>
      </c>
      <c r="C20" s="2">
        <v>4.0</v>
      </c>
      <c r="D20" s="2">
        <v>15.232877</v>
      </c>
    </row>
    <row r="21" ht="15.75" customHeight="1">
      <c r="A21" s="2" t="s">
        <v>30</v>
      </c>
      <c r="B21" s="2" t="s">
        <v>8</v>
      </c>
      <c r="C21" s="2">
        <v>5.0</v>
      </c>
      <c r="D21" s="2">
        <v>7.829051</v>
      </c>
    </row>
    <row r="22" ht="15.75" customHeight="1">
      <c r="A22" s="2" t="s">
        <v>7</v>
      </c>
      <c r="B22" s="2" t="s">
        <v>22</v>
      </c>
      <c r="C22" s="2">
        <v>1.0</v>
      </c>
      <c r="D22" s="2">
        <v>0.432564</v>
      </c>
    </row>
    <row r="23" ht="15.75" customHeight="1">
      <c r="A23" s="2" t="s">
        <v>7</v>
      </c>
      <c r="B23" s="2" t="s">
        <v>22</v>
      </c>
      <c r="C23" s="2">
        <v>2.0</v>
      </c>
      <c r="D23" s="2">
        <v>0.44708</v>
      </c>
    </row>
    <row r="24" ht="15.75" customHeight="1">
      <c r="A24" s="2" t="s">
        <v>7</v>
      </c>
      <c r="B24" s="2" t="s">
        <v>22</v>
      </c>
      <c r="C24" s="2">
        <v>3.0</v>
      </c>
      <c r="D24" s="2">
        <v>0.493019</v>
      </c>
    </row>
    <row r="25" ht="15.75" customHeight="1">
      <c r="A25" s="2" t="s">
        <v>7</v>
      </c>
      <c r="B25" s="2" t="s">
        <v>22</v>
      </c>
      <c r="C25" s="2">
        <v>4.0</v>
      </c>
      <c r="D25" s="2">
        <v>0.399905</v>
      </c>
    </row>
    <row r="26" ht="15.75" customHeight="1">
      <c r="A26" s="2" t="s">
        <v>7</v>
      </c>
      <c r="B26" s="2" t="s">
        <v>22</v>
      </c>
      <c r="C26" s="2">
        <v>5.0</v>
      </c>
      <c r="D26" s="2">
        <v>0.387311</v>
      </c>
    </row>
    <row r="27" ht="15.75" customHeight="1">
      <c r="A27" s="2" t="s">
        <v>15</v>
      </c>
      <c r="B27" s="2" t="s">
        <v>22</v>
      </c>
      <c r="C27" s="2">
        <v>1.0</v>
      </c>
      <c r="D27" s="2">
        <v>0.417443</v>
      </c>
    </row>
    <row r="28" ht="15.75" customHeight="1">
      <c r="A28" s="2" t="s">
        <v>15</v>
      </c>
      <c r="B28" s="2" t="s">
        <v>22</v>
      </c>
      <c r="C28" s="2">
        <v>2.0</v>
      </c>
      <c r="D28" s="2">
        <v>0.433038</v>
      </c>
    </row>
    <row r="29" ht="15.75" customHeight="1">
      <c r="A29" s="2" t="s">
        <v>15</v>
      </c>
      <c r="B29" s="2" t="s">
        <v>22</v>
      </c>
      <c r="C29" s="2">
        <v>3.0</v>
      </c>
      <c r="D29" s="2">
        <v>0.49744</v>
      </c>
    </row>
    <row r="30" ht="15.75" customHeight="1">
      <c r="A30" s="2" t="s">
        <v>15</v>
      </c>
      <c r="B30" s="2" t="s">
        <v>22</v>
      </c>
      <c r="C30" s="2">
        <v>4.0</v>
      </c>
      <c r="D30" s="2">
        <v>0.424294</v>
      </c>
    </row>
    <row r="31" ht="15.75" customHeight="1">
      <c r="A31" s="2" t="s">
        <v>15</v>
      </c>
      <c r="B31" s="2" t="s">
        <v>22</v>
      </c>
      <c r="C31" s="2">
        <v>5.0</v>
      </c>
      <c r="D31" s="2">
        <v>0.430322</v>
      </c>
    </row>
    <row r="32" ht="15.75" customHeight="1">
      <c r="A32" s="2" t="s">
        <v>21</v>
      </c>
      <c r="B32" s="2" t="s">
        <v>22</v>
      </c>
      <c r="C32" s="2">
        <v>1.0</v>
      </c>
      <c r="D32" s="2">
        <v>8.303639</v>
      </c>
    </row>
    <row r="33" ht="15.75" customHeight="1">
      <c r="A33" s="2" t="s">
        <v>21</v>
      </c>
      <c r="B33" s="2" t="s">
        <v>22</v>
      </c>
      <c r="C33" s="2">
        <v>2.0</v>
      </c>
      <c r="D33" s="2">
        <v>7.759279</v>
      </c>
    </row>
    <row r="34" ht="15.75" customHeight="1">
      <c r="A34" s="2" t="s">
        <v>21</v>
      </c>
      <c r="B34" s="2" t="s">
        <v>22</v>
      </c>
      <c r="C34" s="2">
        <v>3.0</v>
      </c>
      <c r="D34" s="2">
        <v>11.622036</v>
      </c>
    </row>
    <row r="35" ht="15.75" customHeight="1">
      <c r="A35" s="2" t="s">
        <v>21</v>
      </c>
      <c r="B35" s="2" t="s">
        <v>22</v>
      </c>
      <c r="C35" s="2">
        <v>4.0</v>
      </c>
      <c r="D35" s="2">
        <v>7.875356</v>
      </c>
    </row>
    <row r="36" ht="15.75" customHeight="1">
      <c r="A36" s="2" t="s">
        <v>21</v>
      </c>
      <c r="B36" s="2" t="s">
        <v>22</v>
      </c>
      <c r="C36" s="2">
        <v>5.0</v>
      </c>
      <c r="D36" s="2">
        <v>15.780478</v>
      </c>
    </row>
    <row r="37" ht="15.75" customHeight="1">
      <c r="A37" s="2" t="s">
        <v>30</v>
      </c>
      <c r="B37" s="2" t="s">
        <v>22</v>
      </c>
      <c r="C37" s="2">
        <v>1.0</v>
      </c>
      <c r="D37" s="2">
        <v>13.658653</v>
      </c>
    </row>
    <row r="38" ht="15.75" customHeight="1">
      <c r="A38" s="2" t="s">
        <v>30</v>
      </c>
      <c r="B38" s="2" t="s">
        <v>22</v>
      </c>
      <c r="C38" s="2">
        <v>2.0</v>
      </c>
      <c r="D38" s="2">
        <v>11.850723</v>
      </c>
    </row>
    <row r="39" ht="15.75" customHeight="1">
      <c r="A39" s="2" t="s">
        <v>30</v>
      </c>
      <c r="B39" s="2" t="s">
        <v>22</v>
      </c>
      <c r="C39" s="2">
        <v>3.0</v>
      </c>
      <c r="D39" s="2">
        <v>11.464758</v>
      </c>
    </row>
    <row r="40" ht="15.75" customHeight="1">
      <c r="A40" s="2" t="s">
        <v>30</v>
      </c>
      <c r="B40" s="2" t="s">
        <v>22</v>
      </c>
      <c r="C40" s="2">
        <v>4.0</v>
      </c>
      <c r="D40" s="2">
        <v>11.683202</v>
      </c>
    </row>
    <row r="41" ht="15.75" customHeight="1">
      <c r="A41" s="2" t="s">
        <v>30</v>
      </c>
      <c r="B41" s="2" t="s">
        <v>22</v>
      </c>
      <c r="C41" s="2">
        <v>5.0</v>
      </c>
      <c r="D41" s="2">
        <v>11.409865</v>
      </c>
    </row>
    <row r="42" ht="15.75" customHeight="1">
      <c r="A42" s="2" t="s">
        <v>7</v>
      </c>
      <c r="B42" s="2" t="s">
        <v>25</v>
      </c>
      <c r="C42" s="2">
        <v>1.0</v>
      </c>
      <c r="D42" s="2">
        <v>0.820713</v>
      </c>
    </row>
    <row r="43" ht="15.75" customHeight="1">
      <c r="A43" s="2" t="s">
        <v>7</v>
      </c>
      <c r="B43" s="2" t="s">
        <v>25</v>
      </c>
      <c r="C43" s="2">
        <v>2.0</v>
      </c>
      <c r="D43" s="2">
        <v>0.615722</v>
      </c>
    </row>
    <row r="44" ht="15.75" customHeight="1">
      <c r="A44" s="2" t="s">
        <v>7</v>
      </c>
      <c r="B44" s="2" t="s">
        <v>25</v>
      </c>
      <c r="C44" s="2">
        <v>3.0</v>
      </c>
      <c r="D44" s="2">
        <v>0.723692</v>
      </c>
    </row>
    <row r="45" ht="15.75" customHeight="1">
      <c r="A45" s="2" t="s">
        <v>7</v>
      </c>
      <c r="B45" s="2" t="s">
        <v>25</v>
      </c>
      <c r="C45" s="2">
        <v>4.0</v>
      </c>
      <c r="D45" s="2">
        <v>0.519355</v>
      </c>
    </row>
    <row r="46" ht="15.75" customHeight="1">
      <c r="A46" s="2" t="s">
        <v>7</v>
      </c>
      <c r="B46" s="2" t="s">
        <v>25</v>
      </c>
      <c r="C46" s="2">
        <v>5.0</v>
      </c>
      <c r="D46" s="2">
        <v>0.497148</v>
      </c>
    </row>
    <row r="47" ht="15.75" customHeight="1">
      <c r="A47" s="2" t="s">
        <v>15</v>
      </c>
      <c r="B47" s="2" t="s">
        <v>25</v>
      </c>
      <c r="C47" s="2">
        <v>1.0</v>
      </c>
      <c r="D47" s="2">
        <v>0.703668</v>
      </c>
    </row>
    <row r="48" ht="15.75" customHeight="1">
      <c r="A48" s="2" t="s">
        <v>15</v>
      </c>
      <c r="B48" s="2" t="s">
        <v>25</v>
      </c>
      <c r="C48" s="2">
        <v>2.0</v>
      </c>
      <c r="D48" s="2">
        <v>0.543985</v>
      </c>
    </row>
    <row r="49" ht="15.75" customHeight="1">
      <c r="A49" s="2" t="s">
        <v>15</v>
      </c>
      <c r="B49" s="2" t="s">
        <v>25</v>
      </c>
      <c r="C49" s="2">
        <v>3.0</v>
      </c>
      <c r="D49" s="2">
        <v>0.528069</v>
      </c>
    </row>
    <row r="50" ht="15.75" customHeight="1">
      <c r="A50" s="2" t="s">
        <v>15</v>
      </c>
      <c r="B50" s="2" t="s">
        <v>25</v>
      </c>
      <c r="C50" s="2">
        <v>4.0</v>
      </c>
      <c r="D50" s="2">
        <v>0.560651</v>
      </c>
    </row>
    <row r="51" ht="15.75" customHeight="1">
      <c r="A51" s="2" t="s">
        <v>15</v>
      </c>
      <c r="B51" s="2" t="s">
        <v>25</v>
      </c>
      <c r="C51" s="2">
        <v>5.0</v>
      </c>
      <c r="D51" s="2">
        <v>0.51987</v>
      </c>
    </row>
    <row r="52" ht="15.75" customHeight="1">
      <c r="A52" s="2" t="s">
        <v>21</v>
      </c>
      <c r="B52" s="2" t="s">
        <v>25</v>
      </c>
      <c r="C52" s="2">
        <v>1.0</v>
      </c>
      <c r="D52" s="2">
        <v>10.682158</v>
      </c>
    </row>
    <row r="53" ht="15.75" customHeight="1">
      <c r="A53" s="2" t="s">
        <v>21</v>
      </c>
      <c r="B53" s="2" t="s">
        <v>25</v>
      </c>
      <c r="C53" s="2">
        <v>2.0</v>
      </c>
      <c r="D53" s="2">
        <v>11.478445</v>
      </c>
    </row>
    <row r="54" ht="15.75" customHeight="1">
      <c r="A54" s="2" t="s">
        <v>21</v>
      </c>
      <c r="B54" s="2" t="s">
        <v>25</v>
      </c>
      <c r="C54" s="2">
        <v>3.0</v>
      </c>
      <c r="D54" s="2">
        <v>12.089964</v>
      </c>
    </row>
    <row r="55" ht="15.75" customHeight="1">
      <c r="A55" s="2" t="s">
        <v>21</v>
      </c>
      <c r="B55" s="2" t="s">
        <v>25</v>
      </c>
      <c r="C55" s="2">
        <v>4.0</v>
      </c>
      <c r="D55" s="2">
        <v>11.972967</v>
      </c>
    </row>
    <row r="56" ht="15.75" customHeight="1">
      <c r="A56" s="2" t="s">
        <v>21</v>
      </c>
      <c r="B56" s="2" t="s">
        <v>25</v>
      </c>
      <c r="C56" s="2">
        <v>5.0</v>
      </c>
      <c r="D56" s="2">
        <v>11.559543</v>
      </c>
    </row>
    <row r="57" ht="15.75" customHeight="1">
      <c r="A57" s="2" t="s">
        <v>30</v>
      </c>
      <c r="B57" s="2" t="s">
        <v>25</v>
      </c>
      <c r="C57" s="2">
        <v>1.0</v>
      </c>
      <c r="D57" s="2">
        <v>11.596298</v>
      </c>
    </row>
    <row r="58" ht="15.75" customHeight="1">
      <c r="A58" s="2" t="s">
        <v>30</v>
      </c>
      <c r="B58" s="2" t="s">
        <v>25</v>
      </c>
      <c r="C58" s="2">
        <v>2.0</v>
      </c>
      <c r="D58" s="2">
        <v>11.712906</v>
      </c>
    </row>
    <row r="59" ht="15.75" customHeight="1">
      <c r="A59" s="2" t="s">
        <v>30</v>
      </c>
      <c r="B59" s="2" t="s">
        <v>25</v>
      </c>
      <c r="C59" s="2">
        <v>3.0</v>
      </c>
      <c r="D59" s="2">
        <v>11.176479</v>
      </c>
    </row>
    <row r="60" ht="15.75" customHeight="1">
      <c r="A60" s="2" t="s">
        <v>30</v>
      </c>
      <c r="B60" s="2" t="s">
        <v>25</v>
      </c>
      <c r="C60" s="2">
        <v>4.0</v>
      </c>
      <c r="D60" s="2">
        <v>11.066291</v>
      </c>
    </row>
    <row r="61" ht="15.75" customHeight="1">
      <c r="A61" s="2" t="s">
        <v>30</v>
      </c>
      <c r="B61" s="2" t="s">
        <v>25</v>
      </c>
      <c r="C61" s="2">
        <v>5.0</v>
      </c>
      <c r="D61" s="2">
        <v>11.777637</v>
      </c>
    </row>
    <row r="62" ht="15.75" customHeight="1">
      <c r="A62" s="2" t="s">
        <v>7</v>
      </c>
      <c r="B62" s="2" t="s">
        <v>28</v>
      </c>
      <c r="C62" s="2">
        <v>1.0</v>
      </c>
      <c r="D62" s="2">
        <v>0.63398</v>
      </c>
    </row>
    <row r="63" ht="15.75" customHeight="1">
      <c r="A63" s="2" t="s">
        <v>7</v>
      </c>
      <c r="B63" s="2" t="s">
        <v>28</v>
      </c>
      <c r="C63" s="2">
        <v>2.0</v>
      </c>
      <c r="D63" s="2">
        <v>0.728448</v>
      </c>
    </row>
    <row r="64" ht="15.75" customHeight="1">
      <c r="A64" s="2" t="s">
        <v>7</v>
      </c>
      <c r="B64" s="2" t="s">
        <v>28</v>
      </c>
      <c r="C64" s="2">
        <v>3.0</v>
      </c>
      <c r="D64" s="2">
        <v>0.7289</v>
      </c>
    </row>
    <row r="65" ht="15.75" customHeight="1">
      <c r="A65" s="2" t="s">
        <v>7</v>
      </c>
      <c r="B65" s="2" t="s">
        <v>28</v>
      </c>
      <c r="C65" s="2">
        <v>4.0</v>
      </c>
      <c r="D65" s="2">
        <v>0.516275</v>
      </c>
    </row>
    <row r="66" ht="15.75" customHeight="1">
      <c r="A66" s="2" t="s">
        <v>7</v>
      </c>
      <c r="B66" s="2" t="s">
        <v>28</v>
      </c>
      <c r="C66" s="2">
        <v>5.0</v>
      </c>
      <c r="D66" s="2">
        <v>0.528388</v>
      </c>
    </row>
    <row r="67" ht="15.75" customHeight="1">
      <c r="A67" s="2" t="s">
        <v>15</v>
      </c>
      <c r="B67" s="2" t="s">
        <v>28</v>
      </c>
      <c r="C67" s="2">
        <v>1.0</v>
      </c>
      <c r="D67" s="2">
        <v>0.636046</v>
      </c>
    </row>
    <row r="68" ht="15.75" customHeight="1">
      <c r="A68" s="2" t="s">
        <v>15</v>
      </c>
      <c r="B68" s="2" t="s">
        <v>28</v>
      </c>
      <c r="C68" s="2">
        <v>2.0</v>
      </c>
      <c r="D68" s="2">
        <v>0.513872</v>
      </c>
    </row>
    <row r="69" ht="15.75" customHeight="1">
      <c r="A69" s="2" t="s">
        <v>15</v>
      </c>
      <c r="B69" s="2" t="s">
        <v>28</v>
      </c>
      <c r="C69" s="2">
        <v>3.0</v>
      </c>
      <c r="D69" s="2">
        <v>0.522945</v>
      </c>
    </row>
    <row r="70" ht="15.75" customHeight="1">
      <c r="A70" s="2" t="s">
        <v>15</v>
      </c>
      <c r="B70" s="2" t="s">
        <v>28</v>
      </c>
      <c r="C70" s="2">
        <v>4.0</v>
      </c>
      <c r="D70" s="2">
        <v>0.451163</v>
      </c>
    </row>
    <row r="71" ht="15.75" customHeight="1">
      <c r="A71" s="2" t="s">
        <v>15</v>
      </c>
      <c r="B71" s="2" t="s">
        <v>28</v>
      </c>
      <c r="C71" s="2">
        <v>5.0</v>
      </c>
      <c r="D71" s="2">
        <v>0.394242</v>
      </c>
    </row>
    <row r="72" ht="15.75" customHeight="1">
      <c r="A72" s="2" t="s">
        <v>21</v>
      </c>
      <c r="B72" s="2" t="s">
        <v>28</v>
      </c>
      <c r="C72" s="2">
        <v>1.0</v>
      </c>
      <c r="D72" s="2">
        <v>10.615324</v>
      </c>
    </row>
    <row r="73" ht="15.75" customHeight="1">
      <c r="A73" s="2" t="s">
        <v>21</v>
      </c>
      <c r="B73" s="2" t="s">
        <v>28</v>
      </c>
      <c r="C73" s="2">
        <v>2.0</v>
      </c>
      <c r="D73" s="2">
        <v>11.267511</v>
      </c>
    </row>
    <row r="74" ht="15.75" customHeight="1">
      <c r="A74" s="2" t="s">
        <v>21</v>
      </c>
      <c r="B74" s="2" t="s">
        <v>28</v>
      </c>
      <c r="C74" s="2">
        <v>3.0</v>
      </c>
      <c r="D74" s="2">
        <v>10.995098</v>
      </c>
    </row>
    <row r="75" ht="15.75" customHeight="1">
      <c r="A75" s="2" t="s">
        <v>21</v>
      </c>
      <c r="B75" s="2" t="s">
        <v>28</v>
      </c>
      <c r="C75" s="2">
        <v>4.0</v>
      </c>
      <c r="D75" s="2">
        <v>11.033398</v>
      </c>
    </row>
    <row r="76" ht="15.75" customHeight="1">
      <c r="A76" s="2" t="s">
        <v>21</v>
      </c>
      <c r="B76" s="2" t="s">
        <v>28</v>
      </c>
      <c r="C76" s="2">
        <v>5.0</v>
      </c>
      <c r="D76" s="2">
        <v>11.085109</v>
      </c>
    </row>
    <row r="77" ht="15.75" customHeight="1">
      <c r="A77" s="2" t="s">
        <v>30</v>
      </c>
      <c r="B77" s="2" t="s">
        <v>28</v>
      </c>
      <c r="C77" s="2">
        <v>1.0</v>
      </c>
      <c r="D77" s="2">
        <v>12.691149</v>
      </c>
    </row>
    <row r="78" ht="15.75" customHeight="1">
      <c r="A78" s="2" t="s">
        <v>30</v>
      </c>
      <c r="B78" s="2" t="s">
        <v>28</v>
      </c>
      <c r="C78" s="2">
        <v>2.0</v>
      </c>
      <c r="D78" s="2">
        <v>11.458138</v>
      </c>
    </row>
    <row r="79" ht="15.75" customHeight="1">
      <c r="A79" s="2" t="s">
        <v>30</v>
      </c>
      <c r="B79" s="2" t="s">
        <v>28</v>
      </c>
      <c r="C79" s="2">
        <v>3.0</v>
      </c>
      <c r="D79" s="2">
        <v>11.379025</v>
      </c>
    </row>
    <row r="80" ht="15.75" customHeight="1">
      <c r="A80" s="2" t="s">
        <v>30</v>
      </c>
      <c r="B80" s="2" t="s">
        <v>28</v>
      </c>
      <c r="C80" s="2">
        <v>4.0</v>
      </c>
      <c r="D80" s="2">
        <v>11.386198</v>
      </c>
    </row>
    <row r="81" ht="15.75" customHeight="1">
      <c r="A81" s="2" t="s">
        <v>30</v>
      </c>
      <c r="B81" s="2" t="s">
        <v>28</v>
      </c>
      <c r="C81" s="2">
        <v>5.0</v>
      </c>
      <c r="D81" s="2">
        <v>11.44033</v>
      </c>
    </row>
    <row r="82" ht="15.75" customHeight="1">
      <c r="A82" s="2" t="s">
        <v>7</v>
      </c>
      <c r="B82" s="2" t="s">
        <v>32</v>
      </c>
      <c r="C82" s="2">
        <v>1.0</v>
      </c>
      <c r="D82" s="2">
        <v>0.62518</v>
      </c>
    </row>
    <row r="83" ht="15.75" customHeight="1">
      <c r="A83" s="2" t="s">
        <v>7</v>
      </c>
      <c r="B83" s="2" t="s">
        <v>32</v>
      </c>
      <c r="C83" s="2">
        <v>2.0</v>
      </c>
      <c r="D83" s="2">
        <v>0.804387</v>
      </c>
    </row>
    <row r="84" ht="15.75" customHeight="1">
      <c r="A84" s="2" t="s">
        <v>7</v>
      </c>
      <c r="B84" s="2" t="s">
        <v>32</v>
      </c>
      <c r="C84" s="2">
        <v>3.0</v>
      </c>
      <c r="D84" s="2">
        <v>0.642774</v>
      </c>
    </row>
    <row r="85" ht="15.75" customHeight="1">
      <c r="A85" s="2" t="s">
        <v>7</v>
      </c>
      <c r="B85" s="2" t="s">
        <v>32</v>
      </c>
      <c r="C85" s="2">
        <v>4.0</v>
      </c>
      <c r="D85" s="2">
        <v>0.540907</v>
      </c>
    </row>
    <row r="86" ht="15.75" customHeight="1">
      <c r="A86" s="2" t="s">
        <v>7</v>
      </c>
      <c r="B86" s="2" t="s">
        <v>32</v>
      </c>
      <c r="C86" s="2">
        <v>5.0</v>
      </c>
      <c r="D86" s="2">
        <v>0.666464</v>
      </c>
    </row>
    <row r="87" ht="15.75" customHeight="1">
      <c r="A87" s="2" t="s">
        <v>15</v>
      </c>
      <c r="B87" s="2" t="s">
        <v>32</v>
      </c>
      <c r="C87" s="2">
        <v>1.0</v>
      </c>
      <c r="D87" s="2">
        <v>0.590746</v>
      </c>
    </row>
    <row r="88" ht="15.75" customHeight="1">
      <c r="A88" s="2" t="s">
        <v>15</v>
      </c>
      <c r="B88" s="2" t="s">
        <v>32</v>
      </c>
      <c r="C88" s="2">
        <v>2.0</v>
      </c>
      <c r="D88" s="2">
        <v>0.55366</v>
      </c>
    </row>
    <row r="89" ht="15.75" customHeight="1">
      <c r="A89" s="2" t="s">
        <v>15</v>
      </c>
      <c r="B89" s="2" t="s">
        <v>32</v>
      </c>
      <c r="C89" s="2">
        <v>3.0</v>
      </c>
      <c r="D89" s="2">
        <v>0.864089</v>
      </c>
    </row>
    <row r="90" ht="15.75" customHeight="1">
      <c r="A90" s="2" t="s">
        <v>15</v>
      </c>
      <c r="B90" s="2" t="s">
        <v>32</v>
      </c>
      <c r="C90" s="2">
        <v>4.0</v>
      </c>
      <c r="D90" s="2">
        <v>0.619745</v>
      </c>
    </row>
    <row r="91" ht="15.75" customHeight="1">
      <c r="A91" s="2" t="s">
        <v>15</v>
      </c>
      <c r="B91" s="2" t="s">
        <v>32</v>
      </c>
      <c r="C91" s="2">
        <v>5.0</v>
      </c>
      <c r="D91" s="2">
        <v>0.726887</v>
      </c>
    </row>
    <row r="92" ht="15.75" customHeight="1">
      <c r="A92" s="2" t="s">
        <v>21</v>
      </c>
      <c r="B92" s="2" t="s">
        <v>32</v>
      </c>
      <c r="C92" s="2">
        <v>1.0</v>
      </c>
      <c r="D92" s="2">
        <v>11.125386</v>
      </c>
    </row>
    <row r="93" ht="15.75" customHeight="1">
      <c r="A93" s="2" t="s">
        <v>21</v>
      </c>
      <c r="B93" s="2" t="s">
        <v>32</v>
      </c>
      <c r="C93" s="2">
        <v>2.0</v>
      </c>
      <c r="D93" s="2">
        <v>10.876711</v>
      </c>
    </row>
    <row r="94" ht="15.75" customHeight="1">
      <c r="A94" s="2" t="s">
        <v>21</v>
      </c>
      <c r="B94" s="2" t="s">
        <v>32</v>
      </c>
      <c r="C94" s="2">
        <v>3.0</v>
      </c>
      <c r="D94" s="2">
        <v>11.077106</v>
      </c>
    </row>
    <row r="95" ht="15.75" customHeight="1">
      <c r="A95" s="2" t="s">
        <v>21</v>
      </c>
      <c r="B95" s="2" t="s">
        <v>32</v>
      </c>
      <c r="C95" s="2">
        <v>4.0</v>
      </c>
      <c r="D95" s="2">
        <v>11.099181</v>
      </c>
    </row>
    <row r="96" ht="15.75" customHeight="1">
      <c r="A96" s="2" t="s">
        <v>21</v>
      </c>
      <c r="B96" s="2" t="s">
        <v>32</v>
      </c>
      <c r="C96" s="2">
        <v>5.0</v>
      </c>
      <c r="D96" s="2">
        <v>11.267958</v>
      </c>
    </row>
    <row r="97" ht="15.75" customHeight="1">
      <c r="A97" s="2" t="s">
        <v>30</v>
      </c>
      <c r="B97" s="2" t="s">
        <v>32</v>
      </c>
      <c r="C97" s="2">
        <v>1.0</v>
      </c>
      <c r="D97" s="2">
        <v>11.167171</v>
      </c>
    </row>
    <row r="98" ht="15.75" customHeight="1">
      <c r="A98" s="2" t="s">
        <v>30</v>
      </c>
      <c r="B98" s="2" t="s">
        <v>32</v>
      </c>
      <c r="C98" s="2">
        <v>2.0</v>
      </c>
      <c r="D98" s="2">
        <v>11.010436</v>
      </c>
    </row>
    <row r="99" ht="15.75" customHeight="1">
      <c r="A99" s="2" t="s">
        <v>30</v>
      </c>
      <c r="B99" s="2" t="s">
        <v>32</v>
      </c>
      <c r="C99" s="2">
        <v>3.0</v>
      </c>
      <c r="D99" s="2">
        <v>11.870472</v>
      </c>
    </row>
    <row r="100" ht="15.75" customHeight="1">
      <c r="A100" s="2" t="s">
        <v>30</v>
      </c>
      <c r="B100" s="2" t="s">
        <v>32</v>
      </c>
      <c r="C100" s="2">
        <v>4.0</v>
      </c>
      <c r="D100" s="2">
        <v>11.837415</v>
      </c>
    </row>
    <row r="101" ht="15.75" customHeight="1">
      <c r="A101" s="2" t="s">
        <v>30</v>
      </c>
      <c r="B101" s="2" t="s">
        <v>32</v>
      </c>
      <c r="C101" s="2">
        <v>5.0</v>
      </c>
      <c r="D101" s="2">
        <v>11.602076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4.0"/>
    <col customWidth="1" min="3" max="8" width="13.0"/>
    <col customWidth="1" min="9" max="9" width="24.0"/>
    <col customWidth="1" min="10" max="10" width="18.0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6</v>
      </c>
      <c r="E1" s="1" t="s">
        <v>9</v>
      </c>
      <c r="F1" s="1" t="s">
        <v>11</v>
      </c>
      <c r="G1" s="1" t="s">
        <v>12</v>
      </c>
      <c r="H1" s="5"/>
      <c r="I1" s="5"/>
      <c r="J1" s="5"/>
    </row>
    <row r="2" ht="15.75" customHeight="1">
      <c r="A2" s="2" t="s">
        <v>7</v>
      </c>
      <c r="B2" s="2" t="s">
        <v>8</v>
      </c>
      <c r="C2" s="6">
        <v>5.0</v>
      </c>
      <c r="D2" s="7">
        <v>0.5062</v>
      </c>
      <c r="E2" s="7">
        <v>0.1112</v>
      </c>
      <c r="F2" s="7">
        <v>0.3523</v>
      </c>
      <c r="G2" s="7">
        <v>0.6478</v>
      </c>
      <c r="H2" s="5"/>
      <c r="I2" s="5"/>
      <c r="J2" s="5"/>
    </row>
    <row r="3" ht="15.75" customHeight="1">
      <c r="A3" s="2" t="s">
        <v>7</v>
      </c>
      <c r="B3" s="2" t="s">
        <v>22</v>
      </c>
      <c r="C3" s="6">
        <v>5.0</v>
      </c>
      <c r="D3" s="7">
        <v>0.432</v>
      </c>
      <c r="E3" s="7">
        <v>0.0418</v>
      </c>
      <c r="F3" s="7">
        <v>0.3873</v>
      </c>
      <c r="G3" s="7">
        <v>0.493</v>
      </c>
      <c r="H3" s="5"/>
      <c r="I3" s="5"/>
      <c r="J3" s="5"/>
    </row>
    <row r="4" ht="15.75" customHeight="1">
      <c r="A4" s="2" t="s">
        <v>7</v>
      </c>
      <c r="B4" s="2" t="s">
        <v>25</v>
      </c>
      <c r="C4" s="6">
        <v>5.0</v>
      </c>
      <c r="D4" s="7">
        <v>0.6353</v>
      </c>
      <c r="E4" s="7">
        <v>0.137</v>
      </c>
      <c r="F4" s="7">
        <v>0.4971</v>
      </c>
      <c r="G4" s="7">
        <v>0.8207</v>
      </c>
      <c r="H4" s="5"/>
      <c r="I4" s="5"/>
      <c r="J4" s="5"/>
    </row>
    <row r="5" ht="15.75" customHeight="1">
      <c r="A5" s="2" t="s">
        <v>7</v>
      </c>
      <c r="B5" s="2" t="s">
        <v>28</v>
      </c>
      <c r="C5" s="6">
        <v>5.0</v>
      </c>
      <c r="D5" s="7">
        <v>0.6272</v>
      </c>
      <c r="E5" s="7">
        <v>0.1033</v>
      </c>
      <c r="F5" s="7">
        <v>0.5163</v>
      </c>
      <c r="G5" s="7">
        <v>0.7289</v>
      </c>
      <c r="H5" s="5"/>
      <c r="I5" s="5"/>
      <c r="J5" s="5"/>
    </row>
    <row r="6" ht="15.75" customHeight="1">
      <c r="A6" s="2" t="s">
        <v>7</v>
      </c>
      <c r="B6" s="2" t="s">
        <v>32</v>
      </c>
      <c r="C6" s="6">
        <v>5.0</v>
      </c>
      <c r="D6" s="7">
        <v>0.6559</v>
      </c>
      <c r="E6" s="7">
        <v>0.0955</v>
      </c>
      <c r="F6" s="7">
        <v>0.5409</v>
      </c>
      <c r="G6" s="7">
        <v>0.8044</v>
      </c>
      <c r="H6" s="5"/>
      <c r="I6" s="5"/>
      <c r="J6" s="5"/>
    </row>
    <row r="7" ht="15.75" customHeight="1">
      <c r="A7" s="2" t="s">
        <v>15</v>
      </c>
      <c r="B7" s="2" t="s">
        <v>8</v>
      </c>
      <c r="C7" s="6">
        <v>5.0</v>
      </c>
      <c r="D7" s="7">
        <v>0.5599</v>
      </c>
      <c r="E7" s="7">
        <v>0.0981</v>
      </c>
      <c r="F7" s="7">
        <v>0.478</v>
      </c>
      <c r="G7" s="7">
        <v>0.6932</v>
      </c>
      <c r="H7" s="5"/>
      <c r="I7" s="5"/>
      <c r="J7" s="5"/>
    </row>
    <row r="8" ht="15.75" customHeight="1">
      <c r="A8" s="2" t="s">
        <v>15</v>
      </c>
      <c r="B8" s="2" t="s">
        <v>22</v>
      </c>
      <c r="C8" s="6">
        <v>5.0</v>
      </c>
      <c r="D8" s="7">
        <v>0.4405</v>
      </c>
      <c r="E8" s="7">
        <v>0.0324</v>
      </c>
      <c r="F8" s="7">
        <v>0.4174</v>
      </c>
      <c r="G8" s="7">
        <v>0.4974</v>
      </c>
      <c r="H8" s="5"/>
      <c r="I8" s="5"/>
      <c r="J8" s="5"/>
    </row>
    <row r="9" ht="15.75" customHeight="1">
      <c r="A9" s="2" t="s">
        <v>15</v>
      </c>
      <c r="B9" s="2" t="s">
        <v>25</v>
      </c>
      <c r="C9" s="6">
        <v>5.0</v>
      </c>
      <c r="D9" s="7">
        <v>0.5712</v>
      </c>
      <c r="E9" s="7">
        <v>0.0757</v>
      </c>
      <c r="F9" s="7">
        <v>0.5199</v>
      </c>
      <c r="G9" s="7">
        <v>0.7037</v>
      </c>
      <c r="H9" s="5"/>
      <c r="I9" s="5"/>
      <c r="J9" s="5"/>
    </row>
    <row r="10" ht="15.75" customHeight="1">
      <c r="A10" s="2" t="s">
        <v>15</v>
      </c>
      <c r="B10" s="2" t="s">
        <v>28</v>
      </c>
      <c r="C10" s="6">
        <v>5.0</v>
      </c>
      <c r="D10" s="7">
        <v>0.5037</v>
      </c>
      <c r="E10" s="7">
        <v>0.0905</v>
      </c>
      <c r="F10" s="7">
        <v>0.3942</v>
      </c>
      <c r="G10" s="7">
        <v>0.636</v>
      </c>
      <c r="H10" s="5"/>
      <c r="I10" s="5"/>
      <c r="J10" s="5"/>
    </row>
    <row r="11" ht="15.75" customHeight="1">
      <c r="A11" s="2" t="s">
        <v>15</v>
      </c>
      <c r="B11" s="2" t="s">
        <v>32</v>
      </c>
      <c r="C11" s="6">
        <v>5.0</v>
      </c>
      <c r="D11" s="7">
        <v>0.671</v>
      </c>
      <c r="E11" s="7">
        <v>0.1257</v>
      </c>
      <c r="F11" s="7">
        <v>0.5537</v>
      </c>
      <c r="G11" s="7">
        <v>0.8641</v>
      </c>
      <c r="H11" s="5"/>
      <c r="I11" s="5"/>
      <c r="J11" s="5"/>
    </row>
    <row r="12" ht="15.75" customHeight="1">
      <c r="A12" s="2" t="s">
        <v>21</v>
      </c>
      <c r="B12" s="2" t="s">
        <v>8</v>
      </c>
      <c r="C12" s="6">
        <v>5.0</v>
      </c>
      <c r="D12" s="7">
        <v>12.3437</v>
      </c>
      <c r="E12" s="7">
        <v>2.5216</v>
      </c>
      <c r="F12" s="7">
        <v>8.2567</v>
      </c>
      <c r="G12" s="7">
        <v>14.5447</v>
      </c>
      <c r="H12" s="5"/>
      <c r="I12" s="5"/>
      <c r="J12" s="5"/>
    </row>
    <row r="13" ht="15.75" customHeight="1">
      <c r="A13" s="2" t="s">
        <v>21</v>
      </c>
      <c r="B13" s="2" t="s">
        <v>22</v>
      </c>
      <c r="C13" s="6">
        <v>5.0</v>
      </c>
      <c r="D13" s="7">
        <v>10.2682</v>
      </c>
      <c r="E13" s="7">
        <v>3.4676</v>
      </c>
      <c r="F13" s="7">
        <v>7.7593</v>
      </c>
      <c r="G13" s="7">
        <v>15.7805</v>
      </c>
      <c r="H13" s="5"/>
      <c r="I13" s="5"/>
      <c r="J13" s="5"/>
    </row>
    <row r="14" ht="15.75" customHeight="1">
      <c r="A14" s="2" t="s">
        <v>21</v>
      </c>
      <c r="B14" s="2" t="s">
        <v>25</v>
      </c>
      <c r="C14" s="6">
        <v>5.0</v>
      </c>
      <c r="D14" s="7">
        <v>11.5566</v>
      </c>
      <c r="E14" s="7">
        <v>0.5542</v>
      </c>
      <c r="F14" s="7">
        <v>10.6822</v>
      </c>
      <c r="G14" s="7">
        <v>12.09</v>
      </c>
      <c r="H14" s="5"/>
      <c r="I14" s="5"/>
      <c r="J14" s="5"/>
    </row>
    <row r="15" ht="15.75" customHeight="1">
      <c r="A15" s="2" t="s">
        <v>21</v>
      </c>
      <c r="B15" s="2" t="s">
        <v>28</v>
      </c>
      <c r="C15" s="6">
        <v>5.0</v>
      </c>
      <c r="D15" s="7">
        <v>10.9993</v>
      </c>
      <c r="E15" s="7">
        <v>0.2387</v>
      </c>
      <c r="F15" s="7">
        <v>10.6153</v>
      </c>
      <c r="G15" s="7">
        <v>11.2675</v>
      </c>
      <c r="H15" s="5"/>
      <c r="I15" s="5"/>
      <c r="J15" s="5"/>
    </row>
    <row r="16" ht="15.75" customHeight="1">
      <c r="A16" s="2" t="s">
        <v>21</v>
      </c>
      <c r="B16" s="2" t="s">
        <v>32</v>
      </c>
      <c r="C16" s="6">
        <v>5.0</v>
      </c>
      <c r="D16" s="7">
        <v>11.0893</v>
      </c>
      <c r="E16" s="7">
        <v>0.1402</v>
      </c>
      <c r="F16" s="7">
        <v>10.8767</v>
      </c>
      <c r="G16" s="7">
        <v>11.268</v>
      </c>
      <c r="H16" s="5"/>
      <c r="I16" s="5"/>
      <c r="J16" s="5"/>
    </row>
    <row r="17" ht="15.75" customHeight="1">
      <c r="A17" s="2" t="s">
        <v>30</v>
      </c>
      <c r="B17" s="2" t="s">
        <v>8</v>
      </c>
      <c r="C17" s="6">
        <v>5.0</v>
      </c>
      <c r="D17" s="7">
        <v>12.9215</v>
      </c>
      <c r="E17" s="7">
        <v>2.9449</v>
      </c>
      <c r="F17" s="7">
        <v>7.8291</v>
      </c>
      <c r="G17" s="7">
        <v>15.2329</v>
      </c>
      <c r="H17" s="5"/>
      <c r="I17" s="5"/>
      <c r="J17" s="5"/>
    </row>
    <row r="18" ht="15.75" customHeight="1">
      <c r="A18" s="2" t="s">
        <v>30</v>
      </c>
      <c r="B18" s="2" t="s">
        <v>22</v>
      </c>
      <c r="C18" s="6">
        <v>5.0</v>
      </c>
      <c r="D18" s="7">
        <v>12.0134</v>
      </c>
      <c r="E18" s="7">
        <v>0.9364</v>
      </c>
      <c r="F18" s="7">
        <v>11.4099</v>
      </c>
      <c r="G18" s="7">
        <v>13.6587</v>
      </c>
      <c r="H18" s="5"/>
      <c r="I18" s="5"/>
      <c r="J18" s="5"/>
    </row>
    <row r="19" ht="15.75" customHeight="1">
      <c r="A19" s="2" t="s">
        <v>30</v>
      </c>
      <c r="B19" s="2" t="s">
        <v>25</v>
      </c>
      <c r="C19" s="6">
        <v>5.0</v>
      </c>
      <c r="D19" s="7">
        <v>11.4659</v>
      </c>
      <c r="E19" s="7">
        <v>0.3235</v>
      </c>
      <c r="F19" s="7">
        <v>11.0663</v>
      </c>
      <c r="G19" s="7">
        <v>11.7776</v>
      </c>
      <c r="H19" s="5"/>
      <c r="I19" s="5"/>
      <c r="J19" s="5"/>
    </row>
    <row r="20" ht="15.75" customHeight="1">
      <c r="A20" s="2" t="s">
        <v>30</v>
      </c>
      <c r="B20" s="2" t="s">
        <v>28</v>
      </c>
      <c r="C20" s="6">
        <v>5.0</v>
      </c>
      <c r="D20" s="7">
        <v>11.671</v>
      </c>
      <c r="E20" s="7">
        <v>0.5713</v>
      </c>
      <c r="F20" s="7">
        <v>11.379</v>
      </c>
      <c r="G20" s="7">
        <v>12.6911</v>
      </c>
      <c r="H20" s="5"/>
      <c r="I20" s="5"/>
      <c r="J20" s="5"/>
    </row>
    <row r="21" ht="15.75" customHeight="1">
      <c r="A21" s="2" t="s">
        <v>30</v>
      </c>
      <c r="B21" s="2" t="s">
        <v>32</v>
      </c>
      <c r="C21" s="6">
        <v>5.0</v>
      </c>
      <c r="D21" s="7">
        <v>11.4975</v>
      </c>
      <c r="E21" s="7">
        <v>0.3911</v>
      </c>
      <c r="F21" s="7">
        <v>11.0104</v>
      </c>
      <c r="G21" s="7">
        <v>11.8705</v>
      </c>
      <c r="H21" s="5"/>
      <c r="I21" s="5"/>
      <c r="J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ht="21.0" customHeight="1">
      <c r="A23" s="21" t="s">
        <v>100</v>
      </c>
      <c r="I23" s="23" t="s">
        <v>102</v>
      </c>
    </row>
    <row r="24" ht="21.0" customHeight="1">
      <c r="A24" s="25" t="s">
        <v>0</v>
      </c>
      <c r="B24" s="25" t="s">
        <v>45</v>
      </c>
      <c r="C24" s="25" t="s">
        <v>6</v>
      </c>
      <c r="D24" s="25" t="s">
        <v>9</v>
      </c>
      <c r="E24" s="25" t="s">
        <v>11</v>
      </c>
      <c r="F24" s="25" t="s">
        <v>12</v>
      </c>
      <c r="G24" s="25" t="s">
        <v>108</v>
      </c>
      <c r="H24" s="5"/>
      <c r="I24" s="26" t="s">
        <v>110</v>
      </c>
      <c r="J24" s="28">
        <f t="shared" ref="J24:J25" si="1">C27/C25</f>
        <v>19.69374458</v>
      </c>
    </row>
    <row r="25" ht="21.0" customHeight="1">
      <c r="A25" s="29" t="s">
        <v>7</v>
      </c>
      <c r="B25" s="30">
        <f>COUNTIF('Timing results'!$A$2:$A$101,A25)</f>
        <v>25</v>
      </c>
      <c r="C25" s="31">
        <f>AVERAGEIF('Timing results'!$A$2:$A$101,A25,'Timing results'!$D$2:$D$101)</f>
        <v>0.5713192</v>
      </c>
      <c r="D25" s="31">
        <f>SQRT(SUMPRODUCT(('Timing results'!$A$2:$A$101=A25)*('Timing results'!$D$2:$D$101-C25)^2)/(B25-1))</f>
        <v>0.1292606957</v>
      </c>
      <c r="E25" s="31">
        <f>MINIFS('Timing results'!$D$2:$D$101,'Timing results'!$A$2:$A$101,A25)</f>
        <v>0.352295</v>
      </c>
      <c r="F25" s="31">
        <f>MAXIFS('Timing results'!$D$2:$D$101,'Timing results'!$A$2:$A$101,A25)</f>
        <v>0.820713</v>
      </c>
      <c r="G25" s="34">
        <f t="shared" ref="G25:G28" si="2">C25/$J$27*1000</f>
        <v>2.720567619</v>
      </c>
      <c r="H25" s="5"/>
      <c r="I25" s="26" t="s">
        <v>122</v>
      </c>
      <c r="J25" s="28">
        <f t="shared" si="1"/>
        <v>21.69028457</v>
      </c>
    </row>
    <row r="26" ht="21.0" customHeight="1">
      <c r="A26" s="35" t="s">
        <v>15</v>
      </c>
      <c r="B26" s="36">
        <f>COUNTIF('Timing results'!$A$2:$A$101,A26)</f>
        <v>25</v>
      </c>
      <c r="C26" s="38">
        <f>AVERAGEIF('Timing results'!$A$2:$A$101,A26,'Timing results'!$D$2:$D$101)</f>
        <v>0.54927196</v>
      </c>
      <c r="D26" s="38">
        <f>SQRT(SUMPRODUCT(('Timing results'!$A$2:$A$101=A26)*('Timing results'!$D$2:$D$101-C26)^2)/(B26-1))</f>
        <v>0.1133199285</v>
      </c>
      <c r="E26" s="38">
        <f>MINIFS('Timing results'!$D$2:$D$101,'Timing results'!$A$2:$A$101,A26)</f>
        <v>0.394242</v>
      </c>
      <c r="F26" s="38">
        <f>MAXIFS('Timing results'!$D$2:$D$101,'Timing results'!$A$2:$A$101,A26)</f>
        <v>0.864089</v>
      </c>
      <c r="G26" s="41">
        <f t="shared" si="2"/>
        <v>2.615580762</v>
      </c>
      <c r="H26" s="5"/>
      <c r="I26" s="26" t="s">
        <v>144</v>
      </c>
      <c r="J26" s="42">
        <v>100.0</v>
      </c>
    </row>
    <row r="27" ht="21.0" customHeight="1">
      <c r="A27" s="35" t="s">
        <v>21</v>
      </c>
      <c r="B27" s="36">
        <f>COUNTIF('Timing results'!$A$2:$A$101,A27)</f>
        <v>25</v>
      </c>
      <c r="C27" s="38">
        <f>AVERAGEIF('Timing results'!$A$2:$A$101,A27,'Timing results'!$D$2:$D$101)</f>
        <v>11.2514144</v>
      </c>
      <c r="D27" s="38">
        <f>SQRT(SUMPRODUCT(('Timing results'!$A$2:$A$101=A27)*('Timing results'!$D$2:$D$101-C27)^2)/(B27-1))</f>
        <v>1.901549429</v>
      </c>
      <c r="E27" s="38">
        <f>MINIFS('Timing results'!$D$2:$D$101,'Timing results'!$A$2:$A$101,A27)</f>
        <v>7.759279</v>
      </c>
      <c r="F27" s="38">
        <f>MAXIFS('Timing results'!$D$2:$D$101,'Timing results'!$A$2:$A$101,A27)</f>
        <v>15.780478</v>
      </c>
      <c r="G27" s="41">
        <f t="shared" si="2"/>
        <v>53.57816381</v>
      </c>
      <c r="H27" s="5"/>
      <c r="I27" s="26" t="s">
        <v>163</v>
      </c>
      <c r="J27" s="42">
        <v>210.0</v>
      </c>
    </row>
    <row r="28" ht="21.0" customHeight="1">
      <c r="A28" s="47" t="s">
        <v>30</v>
      </c>
      <c r="B28" s="49">
        <f>COUNTIF('Timing results'!$A$2:$A$101,A28)</f>
        <v>25</v>
      </c>
      <c r="C28" s="50">
        <f>AVERAGEIF('Timing results'!$A$2:$A$101,A28,'Timing results'!$D$2:$D$101)</f>
        <v>11.91386512</v>
      </c>
      <c r="D28" s="50">
        <f>SQRT(SUMPRODUCT(('Timing results'!$A$2:$A$101=A28)*('Timing results'!$D$2:$D$101-C28)^2)/(B28-1))</f>
        <v>1.411612146</v>
      </c>
      <c r="E28" s="50">
        <f>MINIFS('Timing results'!$D$2:$D$101,'Timing results'!$A$2:$A$101,A28)</f>
        <v>7.829051</v>
      </c>
      <c r="F28" s="50">
        <f>MAXIFS('Timing results'!$D$2:$D$101,'Timing results'!$A$2:$A$101,A28)</f>
        <v>15.232877</v>
      </c>
      <c r="G28" s="51">
        <f t="shared" si="2"/>
        <v>56.73269105</v>
      </c>
      <c r="H28" s="5"/>
      <c r="I28" s="26" t="s">
        <v>200</v>
      </c>
      <c r="J28" s="42">
        <v>10.0</v>
      </c>
    </row>
    <row r="29" ht="21.0" customHeight="1">
      <c r="A29" s="5"/>
      <c r="B29" s="5"/>
      <c r="C29" s="5"/>
      <c r="D29" s="5"/>
      <c r="E29" s="5"/>
      <c r="F29" s="5"/>
      <c r="G29" s="5"/>
      <c r="H29" s="5"/>
      <c r="I29" s="26" t="s">
        <v>203</v>
      </c>
      <c r="J29" s="42">
        <v>20.0</v>
      </c>
    </row>
    <row r="30" ht="21.0" customHeight="1">
      <c r="A30" s="5"/>
      <c r="B30" s="5"/>
      <c r="C30" s="5"/>
      <c r="D30" s="5"/>
      <c r="E30" s="5"/>
      <c r="F30" s="5"/>
      <c r="G30" s="5"/>
      <c r="H30" s="5"/>
      <c r="I30" s="26" t="s">
        <v>206</v>
      </c>
      <c r="J30" s="5" t="s">
        <v>207</v>
      </c>
    </row>
    <row r="31" ht="21.0" customHeight="1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ht="33.75" customHeight="1">
      <c r="A32" s="52" t="s">
        <v>212</v>
      </c>
      <c r="B32" s="54"/>
      <c r="C32" s="54"/>
      <c r="D32" s="54"/>
      <c r="E32" s="54"/>
      <c r="F32" s="54"/>
      <c r="G32" s="54"/>
      <c r="H32" s="54"/>
      <c r="I32" s="54"/>
      <c r="J32" s="55"/>
    </row>
    <row r="33" ht="33.75" customHeight="1">
      <c r="A33" s="56"/>
      <c r="B33" s="57"/>
      <c r="C33" s="57"/>
      <c r="D33" s="57"/>
      <c r="E33" s="57"/>
      <c r="F33" s="57"/>
      <c r="G33" s="57"/>
      <c r="H33" s="57"/>
      <c r="I33" s="57"/>
      <c r="J33" s="58"/>
    </row>
    <row r="34" ht="21.0" customHeight="1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ht="21.0" customHeight="1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3:H23"/>
    <mergeCell ref="I23:J23"/>
    <mergeCell ref="A32:J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2" width="42.0"/>
    <col customWidth="1" min="3" max="4" width="18.0"/>
    <col customWidth="1" min="5" max="7" width="15.0"/>
    <col customWidth="1" min="8" max="8" width="48.0"/>
    <col customWidth="1" min="9" max="26" width="8.63"/>
  </cols>
  <sheetData>
    <row r="1" ht="27.75" customHeight="1">
      <c r="A1" s="8" t="s">
        <v>23</v>
      </c>
    </row>
    <row r="2" ht="24.0" customHeight="1">
      <c r="A2" s="10" t="s">
        <v>27</v>
      </c>
    </row>
    <row r="3" ht="15.0" customHeight="1">
      <c r="A3" s="11"/>
      <c r="B3" s="11"/>
      <c r="C3" s="11"/>
      <c r="D3" s="11"/>
      <c r="E3" s="11"/>
      <c r="F3" s="11"/>
      <c r="G3" s="11"/>
      <c r="H3" s="11"/>
    </row>
    <row r="4" ht="15.0" customHeight="1">
      <c r="A4" s="12" t="s">
        <v>37</v>
      </c>
    </row>
    <row r="5" ht="36.0" customHeight="1">
      <c r="A5" s="14" t="s">
        <v>40</v>
      </c>
      <c r="B5" s="14" t="s">
        <v>42</v>
      </c>
      <c r="C5" s="14" t="s">
        <v>43</v>
      </c>
      <c r="D5" s="14" t="s">
        <v>44</v>
      </c>
      <c r="E5" s="14" t="s">
        <v>45</v>
      </c>
      <c r="F5" s="14" t="s">
        <v>47</v>
      </c>
      <c r="G5" s="14" t="s">
        <v>48</v>
      </c>
      <c r="H5" s="14" t="s">
        <v>49</v>
      </c>
    </row>
    <row r="6" ht="96.0" customHeight="1">
      <c r="A6" s="15" t="s">
        <v>50</v>
      </c>
      <c r="B6" s="15" t="s">
        <v>52</v>
      </c>
      <c r="C6" s="16">
        <v>0.015526430565907747</v>
      </c>
      <c r="D6" s="16">
        <v>0.03827218914807161</v>
      </c>
      <c r="E6" s="17">
        <v>20930.0</v>
      </c>
      <c r="F6" s="17"/>
      <c r="G6" s="17"/>
      <c r="H6" s="15" t="s">
        <v>55</v>
      </c>
    </row>
    <row r="7" ht="96.0" customHeight="1">
      <c r="A7" s="15" t="s">
        <v>57</v>
      </c>
      <c r="B7" s="15" t="s">
        <v>58</v>
      </c>
      <c r="C7" s="16">
        <v>0.015573546099842399</v>
      </c>
      <c r="D7" s="16">
        <v>0.038542252795535394</v>
      </c>
      <c r="E7" s="17">
        <v>5320.0</v>
      </c>
      <c r="F7" s="17"/>
      <c r="G7" s="17"/>
      <c r="H7" s="15" t="s">
        <v>55</v>
      </c>
    </row>
    <row r="8" ht="72.0" customHeight="1">
      <c r="A8" s="15" t="s">
        <v>61</v>
      </c>
      <c r="B8" s="15" t="s">
        <v>62</v>
      </c>
      <c r="C8" s="16">
        <v>0.032837182500447995</v>
      </c>
      <c r="D8" s="16">
        <v>0.04956032787614873</v>
      </c>
      <c r="E8" s="17">
        <v>1200.0</v>
      </c>
      <c r="F8" s="17">
        <v>6.0</v>
      </c>
      <c r="G8" s="17">
        <v>0.0</v>
      </c>
      <c r="H8" s="15" t="s">
        <v>64</v>
      </c>
    </row>
    <row r="9" ht="15.0" customHeight="1">
      <c r="A9" s="11"/>
      <c r="B9" s="11"/>
      <c r="C9" s="11"/>
      <c r="D9" s="11"/>
      <c r="E9" s="11"/>
      <c r="F9" s="11"/>
      <c r="G9" s="11"/>
      <c r="H9" s="11"/>
    </row>
    <row r="10" ht="15.0" customHeight="1">
      <c r="A10" s="12" t="s">
        <v>67</v>
      </c>
    </row>
    <row r="11" ht="15.0" customHeight="1">
      <c r="A11" s="14" t="s">
        <v>69</v>
      </c>
      <c r="B11" s="14" t="s">
        <v>70</v>
      </c>
      <c r="C11" s="14" t="s">
        <v>71</v>
      </c>
      <c r="D11" s="14" t="s">
        <v>73</v>
      </c>
      <c r="E11" s="14" t="s">
        <v>74</v>
      </c>
      <c r="F11" s="14" t="s">
        <v>75</v>
      </c>
      <c r="G11" s="11"/>
      <c r="H11" s="11"/>
    </row>
    <row r="12" ht="15.0" customHeight="1">
      <c r="A12" s="15">
        <v>3.0</v>
      </c>
      <c r="B12" s="15">
        <v>1.0</v>
      </c>
      <c r="C12" s="15">
        <v>5.0</v>
      </c>
      <c r="D12" s="15">
        <v>5.0</v>
      </c>
      <c r="E12" s="15">
        <v>1.0</v>
      </c>
      <c r="F12" s="15">
        <v>0.15</v>
      </c>
      <c r="G12" s="11"/>
      <c r="H12" s="11"/>
    </row>
    <row r="13" ht="15.0" customHeight="1">
      <c r="A13" s="11"/>
      <c r="B13" s="11"/>
      <c r="C13" s="11"/>
      <c r="D13" s="11"/>
      <c r="E13" s="11"/>
      <c r="F13" s="11"/>
      <c r="G13" s="11"/>
      <c r="H13" s="11"/>
    </row>
    <row r="14" ht="15.0" customHeight="1">
      <c r="A14" s="12" t="s">
        <v>78</v>
      </c>
    </row>
    <row r="15" ht="24.0" customHeight="1">
      <c r="A15" s="14" t="s">
        <v>80</v>
      </c>
      <c r="B15" s="14" t="s">
        <v>81</v>
      </c>
      <c r="C15" s="14" t="s">
        <v>83</v>
      </c>
      <c r="D15" s="11"/>
      <c r="E15" s="11"/>
      <c r="F15" s="11"/>
      <c r="G15" s="11"/>
      <c r="H15" s="11"/>
    </row>
    <row r="16" ht="96.0" customHeight="1">
      <c r="A16" s="15" t="s">
        <v>85</v>
      </c>
      <c r="B16" s="16">
        <f>C7-C6</f>
        <v>0.00004711553393</v>
      </c>
      <c r="C16" s="15" t="s">
        <v>96</v>
      </c>
      <c r="D16" s="11"/>
      <c r="E16" s="11"/>
      <c r="F16" s="11"/>
      <c r="G16" s="11"/>
      <c r="H16" s="11"/>
    </row>
    <row r="17" ht="96.0" customHeight="1">
      <c r="A17" s="15" t="s">
        <v>99</v>
      </c>
      <c r="B17" s="16">
        <f>D7-D6</f>
        <v>0.0002700636475</v>
      </c>
      <c r="C17" s="15" t="s">
        <v>96</v>
      </c>
      <c r="D17" s="11"/>
      <c r="E17" s="11"/>
      <c r="F17" s="11"/>
      <c r="G17" s="11"/>
      <c r="H17" s="11"/>
    </row>
    <row r="18" ht="84.0" customHeight="1">
      <c r="A18" s="15" t="s">
        <v>103</v>
      </c>
      <c r="B18" s="27">
        <f>D8*100</f>
        <v>4.956032788</v>
      </c>
      <c r="C18" s="15" t="s">
        <v>111</v>
      </c>
      <c r="D18" s="11"/>
      <c r="E18" s="11"/>
      <c r="F18" s="11"/>
      <c r="G18" s="11"/>
      <c r="H18" s="11"/>
    </row>
    <row r="19" ht="48.0" customHeight="1">
      <c r="A19" s="15" t="s">
        <v>112</v>
      </c>
      <c r="B19" s="17">
        <f>E6+E7</f>
        <v>26250</v>
      </c>
      <c r="C19" s="15" t="s">
        <v>113</v>
      </c>
      <c r="D19" s="11"/>
      <c r="E19" s="11"/>
      <c r="F19" s="11"/>
      <c r="G19" s="11"/>
      <c r="H19" s="11"/>
    </row>
    <row r="20" ht="15.0" customHeight="1">
      <c r="A20" s="11"/>
      <c r="B20" s="11"/>
      <c r="C20" s="11"/>
      <c r="D20" s="11"/>
      <c r="E20" s="11"/>
      <c r="F20" s="11"/>
      <c r="G20" s="11"/>
      <c r="H20" s="11"/>
    </row>
    <row r="21" ht="15.0" customHeight="1">
      <c r="A21" s="12" t="s">
        <v>114</v>
      </c>
    </row>
    <row r="22" ht="24.0" customHeight="1">
      <c r="A22" s="14" t="s">
        <v>115</v>
      </c>
      <c r="B22" s="14" t="s">
        <v>116</v>
      </c>
      <c r="C22" s="14" t="s">
        <v>117</v>
      </c>
      <c r="D22" s="14" t="s">
        <v>118</v>
      </c>
      <c r="E22" s="14" t="s">
        <v>119</v>
      </c>
      <c r="F22" s="11"/>
      <c r="G22" s="11"/>
      <c r="H22" s="11"/>
    </row>
    <row r="23" ht="48.0" customHeight="1">
      <c r="A23" s="15" t="s">
        <v>120</v>
      </c>
      <c r="B23" s="32">
        <f>'Timing summary'!C25</f>
        <v>0.5713192</v>
      </c>
      <c r="C23" s="32">
        <f>'Timing summary'!C27</f>
        <v>11.2514144</v>
      </c>
      <c r="D23" s="33">
        <f>'Timing summary'!J24</f>
        <v>19.69374458</v>
      </c>
      <c r="E23" s="17">
        <f>'Timing summary'!J27</f>
        <v>210</v>
      </c>
      <c r="F23" s="11"/>
      <c r="G23" s="11"/>
      <c r="H23" s="11"/>
    </row>
    <row r="24" ht="24.0" customHeight="1">
      <c r="A24" s="15" t="s">
        <v>121</v>
      </c>
      <c r="B24" s="32">
        <f>'Timing summary'!C26</f>
        <v>0.54927196</v>
      </c>
      <c r="C24" s="32">
        <f>'Timing summary'!C28</f>
        <v>11.91386512</v>
      </c>
      <c r="D24" s="33">
        <f>'Timing summary'!J25</f>
        <v>21.69028457</v>
      </c>
      <c r="E24" s="17">
        <f>'Timing summary'!J27</f>
        <v>210</v>
      </c>
      <c r="F24" s="11"/>
      <c r="G24" s="11"/>
      <c r="H24" s="11"/>
    </row>
    <row r="25" ht="15.0" customHeight="1">
      <c r="A25" s="11"/>
      <c r="B25" s="11"/>
      <c r="C25" s="11"/>
      <c r="D25" s="11"/>
      <c r="E25" s="11"/>
      <c r="F25" s="11"/>
      <c r="G25" s="11"/>
      <c r="H25" s="11"/>
    </row>
    <row r="26" ht="15.0" customHeight="1">
      <c r="A26" s="12" t="s">
        <v>123</v>
      </c>
    </row>
    <row r="27" ht="31.5" customHeight="1">
      <c r="A27" s="37" t="s">
        <v>124</v>
      </c>
    </row>
    <row r="28" ht="31.5" customHeight="1">
      <c r="A28" s="37" t="s">
        <v>125</v>
      </c>
    </row>
    <row r="29" ht="31.5" customHeight="1">
      <c r="A29" s="37" t="s">
        <v>126</v>
      </c>
    </row>
    <row r="30" ht="31.5" customHeight="1">
      <c r="A30" s="37" t="s">
        <v>127</v>
      </c>
    </row>
    <row r="31" ht="31.5" customHeight="1">
      <c r="A31" s="37" t="s">
        <v>128</v>
      </c>
    </row>
    <row r="32" ht="31.5" customHeight="1">
      <c r="A32" s="37" t="s">
        <v>129</v>
      </c>
    </row>
    <row r="33" ht="31.5" customHeight="1">
      <c r="A33" s="37" t="s">
        <v>130</v>
      </c>
    </row>
    <row r="34" ht="31.5" customHeight="1">
      <c r="A34" s="37" t="s">
        <v>131</v>
      </c>
    </row>
    <row r="35" ht="15.0" customHeight="1">
      <c r="A35" s="11"/>
      <c r="B35" s="11"/>
      <c r="C35" s="11"/>
      <c r="D35" s="11"/>
      <c r="E35" s="11"/>
      <c r="F35" s="11"/>
      <c r="G35" s="11"/>
      <c r="H35" s="11"/>
    </row>
    <row r="36" ht="15.0" customHeight="1">
      <c r="A36" s="12" t="s">
        <v>132</v>
      </c>
    </row>
    <row r="37" ht="33.75" customHeight="1">
      <c r="A37" s="39" t="s">
        <v>133</v>
      </c>
    </row>
    <row r="38" ht="33.75" customHeight="1">
      <c r="A38" s="39" t="s">
        <v>134</v>
      </c>
    </row>
    <row r="39" ht="33.75" customHeight="1">
      <c r="A39" s="39" t="s">
        <v>135</v>
      </c>
    </row>
    <row r="40" ht="33.75" customHeight="1">
      <c r="A40" s="39" t="s">
        <v>136</v>
      </c>
    </row>
    <row r="41" ht="15.0" customHeight="1">
      <c r="A41" s="11"/>
      <c r="B41" s="11"/>
      <c r="C41" s="11"/>
      <c r="D41" s="11"/>
      <c r="E41" s="11"/>
      <c r="F41" s="11"/>
      <c r="G41" s="11"/>
      <c r="H41" s="11"/>
    </row>
    <row r="42" ht="15.0" customHeight="1">
      <c r="A42" s="12" t="s">
        <v>137</v>
      </c>
    </row>
    <row r="43" ht="24.75" customHeight="1">
      <c r="A43" s="40" t="s">
        <v>138</v>
      </c>
    </row>
    <row r="44" ht="24.75" customHeight="1">
      <c r="A44" s="40" t="s">
        <v>139</v>
      </c>
    </row>
    <row r="45" ht="24.75" customHeight="1">
      <c r="A45" s="40" t="s">
        <v>141</v>
      </c>
    </row>
    <row r="46" ht="24.75" customHeight="1">
      <c r="A46" s="40" t="s">
        <v>142</v>
      </c>
    </row>
    <row r="47" ht="24.75" customHeight="1">
      <c r="A47" s="40" t="s">
        <v>143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H1"/>
    <mergeCell ref="A2:H2"/>
    <mergeCell ref="A4:H4"/>
    <mergeCell ref="A10:H10"/>
    <mergeCell ref="A14:H14"/>
    <mergeCell ref="A21:H21"/>
    <mergeCell ref="A26:H26"/>
    <mergeCell ref="A27:H27"/>
    <mergeCell ref="A28:H28"/>
    <mergeCell ref="A29:H29"/>
    <mergeCell ref="A30:H30"/>
    <mergeCell ref="A31:H31"/>
    <mergeCell ref="A32:H32"/>
    <mergeCell ref="A33:H33"/>
    <mergeCell ref="A43:H43"/>
    <mergeCell ref="A44:H44"/>
    <mergeCell ref="A45:H45"/>
    <mergeCell ref="A46:H46"/>
    <mergeCell ref="A47:H47"/>
    <mergeCell ref="A34:H34"/>
    <mergeCell ref="A36:H36"/>
    <mergeCell ref="A37:H37"/>
    <mergeCell ref="A38:H38"/>
    <mergeCell ref="A39:H39"/>
    <mergeCell ref="A40:H40"/>
    <mergeCell ref="A42:H4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0.88"/>
    <col customWidth="1" min="2" max="6" width="12.63"/>
  </cols>
  <sheetData>
    <row r="1" ht="15.75" customHeight="1">
      <c r="A1" s="43" t="s">
        <v>140</v>
      </c>
    </row>
    <row r="2" ht="15.75" customHeight="1">
      <c r="A2" s="44" t="s">
        <v>145</v>
      </c>
    </row>
    <row r="3" ht="15.75" customHeight="1">
      <c r="A3" s="44" t="s">
        <v>146</v>
      </c>
    </row>
    <row r="4" ht="15.75" customHeight="1">
      <c r="A4" s="44" t="s">
        <v>147</v>
      </c>
    </row>
    <row r="5" ht="15.75" customHeight="1">
      <c r="A5" s="44" t="s">
        <v>148</v>
      </c>
    </row>
    <row r="6" ht="15.75" customHeight="1">
      <c r="A6" s="44" t="s">
        <v>149</v>
      </c>
    </row>
    <row r="7" ht="15.75" customHeight="1">
      <c r="A7" s="44" t="s">
        <v>150</v>
      </c>
    </row>
    <row r="8" ht="15.75" customHeight="1">
      <c r="A8" s="44" t="s">
        <v>146</v>
      </c>
    </row>
    <row r="9" ht="15.75" customHeight="1">
      <c r="A9" s="44" t="s">
        <v>151</v>
      </c>
    </row>
    <row r="10" ht="15.75" customHeight="1">
      <c r="A10" s="44" t="s">
        <v>152</v>
      </c>
    </row>
    <row r="11" ht="15.75" customHeight="1">
      <c r="A11" s="44"/>
    </row>
    <row r="12" ht="15.75" customHeight="1">
      <c r="A12" s="45" t="s">
        <v>153</v>
      </c>
    </row>
    <row r="13" ht="15.75" customHeight="1">
      <c r="A13" s="45" t="s">
        <v>154</v>
      </c>
    </row>
    <row r="14" ht="15.75" customHeight="1">
      <c r="A14" s="45" t="s">
        <v>155</v>
      </c>
    </row>
    <row r="15" ht="15.75" customHeight="1">
      <c r="A15" s="45"/>
    </row>
    <row r="16" ht="15.75" customHeight="1">
      <c r="A16" s="44" t="s">
        <v>152</v>
      </c>
    </row>
    <row r="17" ht="15.75" customHeight="1">
      <c r="A17" s="44" t="s">
        <v>156</v>
      </c>
    </row>
    <row r="18" ht="15.75" customHeight="1">
      <c r="A18" s="44" t="s">
        <v>152</v>
      </c>
    </row>
    <row r="19" ht="15.75" customHeight="1">
      <c r="A19" s="45" t="s">
        <v>157</v>
      </c>
    </row>
    <row r="20" ht="15.75" customHeight="1">
      <c r="A20" s="44" t="s">
        <v>158</v>
      </c>
    </row>
    <row r="21" ht="15.75" customHeight="1">
      <c r="A21" s="45" t="s">
        <v>159</v>
      </c>
    </row>
    <row r="22" ht="15.75" customHeight="1">
      <c r="A22" s="45"/>
    </row>
    <row r="23" ht="15.75" customHeight="1">
      <c r="A23" s="44" t="s">
        <v>152</v>
      </c>
    </row>
    <row r="24" ht="15.75" customHeight="1">
      <c r="A24" s="44" t="s">
        <v>160</v>
      </c>
    </row>
    <row r="25" ht="15.75" customHeight="1">
      <c r="A25" s="44" t="s">
        <v>152</v>
      </c>
    </row>
    <row r="26" ht="15.75" customHeight="1">
      <c r="A26" s="44" t="s">
        <v>161</v>
      </c>
    </row>
    <row r="27" ht="15.75" customHeight="1">
      <c r="A27" s="46" t="s">
        <v>162</v>
      </c>
    </row>
    <row r="28" ht="15.75" customHeight="1">
      <c r="A28" s="46" t="s">
        <v>164</v>
      </c>
    </row>
    <row r="29" ht="15.75" customHeight="1">
      <c r="A29" s="44" t="s">
        <v>165</v>
      </c>
    </row>
    <row r="30" ht="15.75" customHeight="1">
      <c r="A30" s="46" t="s">
        <v>166</v>
      </c>
    </row>
    <row r="31" ht="15.75" customHeight="1">
      <c r="A31" s="46"/>
    </row>
    <row r="32" ht="15.75" customHeight="1">
      <c r="A32" s="44" t="s">
        <v>167</v>
      </c>
    </row>
    <row r="33" ht="15.75" customHeight="1">
      <c r="A33" s="44" t="s">
        <v>168</v>
      </c>
    </row>
    <row r="34" ht="15.75" customHeight="1">
      <c r="A34" s="44" t="s">
        <v>169</v>
      </c>
    </row>
    <row r="35" ht="15.75" customHeight="1">
      <c r="A35" s="44"/>
    </row>
    <row r="36" ht="15.75" customHeight="1">
      <c r="A36" s="48" t="s">
        <v>170</v>
      </c>
    </row>
    <row r="37" ht="15.75" customHeight="1">
      <c r="A37" s="48"/>
    </row>
    <row r="38" ht="15.75" customHeight="1">
      <c r="A38" s="44" t="s">
        <v>152</v>
      </c>
    </row>
    <row r="39" ht="15.75" customHeight="1">
      <c r="A39" s="44" t="s">
        <v>171</v>
      </c>
    </row>
    <row r="40" ht="15.75" customHeight="1">
      <c r="A40" s="44" t="s">
        <v>152</v>
      </c>
    </row>
    <row r="41" ht="15.75" customHeight="1">
      <c r="A41" s="45" t="s">
        <v>172</v>
      </c>
    </row>
    <row r="42" ht="15.75" customHeight="1">
      <c r="A42" s="45" t="s">
        <v>173</v>
      </c>
    </row>
    <row r="43" ht="15.75" customHeight="1">
      <c r="A43" s="45" t="s">
        <v>174</v>
      </c>
    </row>
    <row r="44" ht="15.75" customHeight="1">
      <c r="A44" s="45" t="s">
        <v>175</v>
      </c>
    </row>
    <row r="45" ht="15.75" customHeight="1">
      <c r="A45" s="45" t="s">
        <v>176</v>
      </c>
    </row>
    <row r="46" ht="15.75" customHeight="1">
      <c r="A46" s="45" t="s">
        <v>177</v>
      </c>
    </row>
    <row r="47" ht="15.75" customHeight="1">
      <c r="A47" s="45" t="s">
        <v>178</v>
      </c>
    </row>
    <row r="48" ht="15.75" customHeight="1">
      <c r="A48" s="45" t="s">
        <v>179</v>
      </c>
    </row>
    <row r="49" ht="15.75" customHeight="1">
      <c r="A49" s="45" t="s">
        <v>180</v>
      </c>
    </row>
    <row r="50" ht="15.75" customHeight="1">
      <c r="A50" s="45" t="s">
        <v>181</v>
      </c>
    </row>
    <row r="51" ht="15.75" customHeight="1">
      <c r="A51" s="45" t="s">
        <v>177</v>
      </c>
    </row>
    <row r="52" ht="15.75" customHeight="1">
      <c r="A52" s="45" t="s">
        <v>182</v>
      </c>
    </row>
    <row r="53" ht="15.75" customHeight="1">
      <c r="A53" s="45" t="s">
        <v>183</v>
      </c>
    </row>
    <row r="54" ht="15.75" customHeight="1">
      <c r="A54" s="45" t="s">
        <v>184</v>
      </c>
    </row>
    <row r="55" ht="15.75" customHeight="1">
      <c r="A55" s="45" t="s">
        <v>185</v>
      </c>
    </row>
    <row r="56" ht="15.75" customHeight="1">
      <c r="A56" s="45" t="s">
        <v>177</v>
      </c>
    </row>
    <row r="57" ht="15.75" customHeight="1">
      <c r="A57" s="45" t="s">
        <v>186</v>
      </c>
    </row>
    <row r="58" ht="15.75" customHeight="1">
      <c r="A58" s="45" t="s">
        <v>187</v>
      </c>
    </row>
    <row r="59" ht="15.75" customHeight="1">
      <c r="A59" s="45" t="s">
        <v>188</v>
      </c>
    </row>
    <row r="60" ht="15.75" customHeight="1">
      <c r="A60" s="45" t="s">
        <v>189</v>
      </c>
    </row>
    <row r="61" ht="15.75" customHeight="1">
      <c r="A61" s="45" t="s">
        <v>177</v>
      </c>
    </row>
    <row r="62" ht="15.75" customHeight="1">
      <c r="A62" s="45" t="s">
        <v>190</v>
      </c>
    </row>
    <row r="63" ht="15.75" customHeight="1">
      <c r="A63" s="45" t="s">
        <v>191</v>
      </c>
    </row>
    <row r="64" ht="15.75" customHeight="1">
      <c r="A64" s="45" t="s">
        <v>192</v>
      </c>
    </row>
    <row r="65" ht="15.75" customHeight="1">
      <c r="A65" s="45" t="s">
        <v>193</v>
      </c>
    </row>
    <row r="66" ht="15.75" customHeight="1">
      <c r="A66" s="45" t="s">
        <v>177</v>
      </c>
    </row>
    <row r="67" ht="15.75" customHeight="1">
      <c r="A67" s="45" t="s">
        <v>194</v>
      </c>
    </row>
    <row r="68" ht="15.75" customHeight="1">
      <c r="A68" s="45"/>
    </row>
    <row r="69" ht="15.75" customHeight="1">
      <c r="A69" s="44" t="s">
        <v>152</v>
      </c>
    </row>
    <row r="70" ht="15.75" customHeight="1">
      <c r="A70" s="44" t="s">
        <v>195</v>
      </c>
    </row>
    <row r="71" ht="15.75" customHeight="1">
      <c r="A71" s="44" t="s">
        <v>152</v>
      </c>
    </row>
    <row r="72" ht="15.75" customHeight="1">
      <c r="A72" s="45" t="s">
        <v>196</v>
      </c>
    </row>
    <row r="73" ht="15.75" customHeight="1">
      <c r="A73" s="45"/>
    </row>
    <row r="74" ht="15.75" customHeight="1">
      <c r="A74" s="45" t="s">
        <v>197</v>
      </c>
    </row>
    <row r="75" ht="15.75" customHeight="1">
      <c r="A75" s="45" t="s">
        <v>198</v>
      </c>
    </row>
    <row r="76" ht="15.75" customHeight="1">
      <c r="A76" s="45" t="s">
        <v>199</v>
      </c>
    </row>
    <row r="77" ht="15.75" customHeight="1">
      <c r="A77" s="45"/>
    </row>
    <row r="78" ht="15.75" customHeight="1">
      <c r="A78" s="45" t="s">
        <v>201</v>
      </c>
    </row>
    <row r="79" ht="15.75" customHeight="1">
      <c r="A79" s="45"/>
    </row>
    <row r="80" ht="15.75" customHeight="1">
      <c r="A80" s="45" t="s">
        <v>202</v>
      </c>
    </row>
    <row r="81" ht="15.75" customHeight="1">
      <c r="A81" s="45"/>
    </row>
    <row r="82" ht="15.75" customHeight="1">
      <c r="A82" s="45" t="s">
        <v>204</v>
      </c>
    </row>
    <row r="83" ht="15.75" customHeight="1">
      <c r="A83" s="45" t="s">
        <v>205</v>
      </c>
    </row>
    <row r="84" ht="15.75" customHeight="1">
      <c r="A84" s="48" t="s">
        <v>208</v>
      </c>
    </row>
    <row r="85" ht="15.75" customHeight="1">
      <c r="A85" s="48" t="s">
        <v>209</v>
      </c>
    </row>
    <row r="86" ht="15.75" customHeight="1">
      <c r="A86" s="45" t="s">
        <v>210</v>
      </c>
    </row>
    <row r="87" ht="15.75" customHeight="1">
      <c r="A87" s="45"/>
    </row>
    <row r="88" ht="15.75" customHeight="1">
      <c r="A88" s="44" t="s">
        <v>152</v>
      </c>
    </row>
    <row r="89" ht="15.75" customHeight="1">
      <c r="A89" s="44" t="s">
        <v>211</v>
      </c>
    </row>
    <row r="90" ht="15.75" customHeight="1">
      <c r="A90" s="44" t="s">
        <v>152</v>
      </c>
    </row>
    <row r="91" ht="15.75" customHeight="1">
      <c r="A91" s="45" t="s">
        <v>213</v>
      </c>
    </row>
    <row r="92" ht="15.75" customHeight="1">
      <c r="A92" s="48" t="s">
        <v>214</v>
      </c>
    </row>
    <row r="93" ht="15.75" customHeight="1">
      <c r="A93" s="44" t="s">
        <v>215</v>
      </c>
    </row>
    <row r="94" ht="15.75" customHeight="1">
      <c r="A94" s="53" t="s">
        <v>216</v>
      </c>
    </row>
    <row r="95" ht="15.75" customHeight="1">
      <c r="A95" s="45" t="s">
        <v>217</v>
      </c>
    </row>
    <row r="96" ht="15.75" customHeight="1">
      <c r="A96" s="45" t="s">
        <v>218</v>
      </c>
    </row>
    <row r="97" ht="15.75" customHeight="1">
      <c r="A97" s="45"/>
    </row>
    <row r="98" ht="15.75" customHeight="1">
      <c r="A98" s="45"/>
    </row>
    <row r="99" ht="15.75" customHeight="1">
      <c r="A99" s="44" t="s">
        <v>152</v>
      </c>
    </row>
    <row r="100" ht="15.75" customHeight="1">
      <c r="A100" s="44" t="s">
        <v>219</v>
      </c>
    </row>
    <row r="101" ht="15.75" customHeight="1">
      <c r="A101" s="44" t="s">
        <v>220</v>
      </c>
    </row>
    <row r="102" ht="15.75" customHeight="1">
      <c r="A102" s="44" t="s">
        <v>221</v>
      </c>
    </row>
    <row r="103" ht="15.75" customHeight="1">
      <c r="A103" s="44" t="s">
        <v>152</v>
      </c>
    </row>
    <row r="104" ht="15.75" customHeight="1">
      <c r="A104" s="45" t="s">
        <v>222</v>
      </c>
    </row>
    <row r="105" ht="15.75" customHeight="1">
      <c r="A105" s="45" t="s">
        <v>223</v>
      </c>
    </row>
    <row r="106" ht="15.75" customHeight="1">
      <c r="A106" s="45" t="s">
        <v>224</v>
      </c>
    </row>
    <row r="107" ht="15.75" customHeight="1">
      <c r="A107" s="48" t="s">
        <v>225</v>
      </c>
    </row>
    <row r="108" ht="15.75" customHeight="1">
      <c r="A108" s="48" t="s">
        <v>226</v>
      </c>
    </row>
    <row r="109" ht="15.75" customHeight="1">
      <c r="A109" s="48" t="s">
        <v>227</v>
      </c>
    </row>
    <row r="110" ht="15.75" customHeight="1">
      <c r="A110" s="48"/>
    </row>
    <row r="111" ht="15.75" customHeight="1">
      <c r="A111" s="48" t="s">
        <v>228</v>
      </c>
    </row>
    <row r="112" ht="15.75" customHeight="1">
      <c r="A112" s="48" t="s">
        <v>229</v>
      </c>
    </row>
    <row r="113" ht="15.75" customHeight="1">
      <c r="A113" s="48" t="s">
        <v>225</v>
      </c>
    </row>
    <row r="114" ht="15.75" customHeight="1">
      <c r="A114" s="45" t="s">
        <v>230</v>
      </c>
    </row>
    <row r="115" ht="15.75" customHeight="1">
      <c r="A115" s="45"/>
    </row>
    <row r="116" ht="15.75" customHeight="1">
      <c r="A116" s="45" t="s">
        <v>231</v>
      </c>
    </row>
    <row r="117" ht="15.75" customHeight="1">
      <c r="A117" s="45" t="s">
        <v>232</v>
      </c>
    </row>
    <row r="118" ht="15.75" customHeight="1">
      <c r="A118" s="45"/>
    </row>
    <row r="119" ht="15.75" customHeight="1">
      <c r="A119" s="44" t="s">
        <v>233</v>
      </c>
    </row>
    <row r="120" ht="15.75" customHeight="1">
      <c r="A120" s="45" t="s">
        <v>234</v>
      </c>
    </row>
    <row r="121" ht="15.75" customHeight="1">
      <c r="A121" s="45"/>
    </row>
    <row r="122" ht="15.75" customHeight="1">
      <c r="A122" s="44" t="s">
        <v>235</v>
      </c>
    </row>
    <row r="123" ht="15.75" customHeight="1">
      <c r="A123" s="45" t="s">
        <v>236</v>
      </c>
    </row>
    <row r="124" ht="15.75" customHeight="1">
      <c r="A124" s="45" t="s">
        <v>237</v>
      </c>
    </row>
    <row r="125" ht="15.75" customHeight="1">
      <c r="A125" s="45" t="s">
        <v>238</v>
      </c>
    </row>
    <row r="126" ht="15.75" customHeight="1">
      <c r="A126" s="45"/>
    </row>
    <row r="127" ht="15.75" customHeight="1">
      <c r="A127" s="46" t="s">
        <v>239</v>
      </c>
    </row>
    <row r="128" ht="15.75" customHeight="1">
      <c r="A128" s="44" t="s">
        <v>240</v>
      </c>
    </row>
    <row r="129" ht="15.75" customHeight="1">
      <c r="A129" s="44"/>
    </row>
    <row r="130" ht="15.75" customHeight="1">
      <c r="A130" s="45" t="s">
        <v>241</v>
      </c>
    </row>
    <row r="131" ht="15.75" customHeight="1">
      <c r="A131" s="45"/>
    </row>
    <row r="132" ht="15.75" customHeight="1">
      <c r="A132" s="44" t="s">
        <v>242</v>
      </c>
    </row>
    <row r="133" ht="15.75" customHeight="1">
      <c r="A133" s="45" t="s">
        <v>243</v>
      </c>
    </row>
    <row r="134" ht="15.75" customHeight="1">
      <c r="A134" s="45" t="s">
        <v>244</v>
      </c>
    </row>
    <row r="135" ht="15.75" customHeight="1">
      <c r="A135" s="45"/>
    </row>
    <row r="136" ht="15.75" customHeight="1">
      <c r="A136" s="45" t="s">
        <v>245</v>
      </c>
    </row>
    <row r="137" ht="15.75" customHeight="1">
      <c r="A137" s="45" t="s">
        <v>246</v>
      </c>
    </row>
    <row r="138" ht="15.75" customHeight="1">
      <c r="A138" s="45" t="s">
        <v>247</v>
      </c>
    </row>
    <row r="139" ht="15.75" customHeight="1">
      <c r="A139" s="46" t="s">
        <v>248</v>
      </c>
    </row>
    <row r="140" ht="15.75" customHeight="1">
      <c r="A140" s="48" t="s">
        <v>249</v>
      </c>
    </row>
    <row r="141" ht="15.75" customHeight="1">
      <c r="A141" s="46" t="s">
        <v>250</v>
      </c>
    </row>
    <row r="142" ht="15.75" customHeight="1">
      <c r="A142" s="46"/>
    </row>
    <row r="143" ht="15.75" customHeight="1">
      <c r="A143" s="44" t="s">
        <v>251</v>
      </c>
    </row>
    <row r="144" ht="15.75" customHeight="1">
      <c r="A144" s="45" t="s">
        <v>252</v>
      </c>
    </row>
    <row r="145" ht="15.75" customHeight="1">
      <c r="A145" s="45" t="s">
        <v>253</v>
      </c>
    </row>
    <row r="146" ht="15.75" customHeight="1">
      <c r="A146" s="45" t="s">
        <v>254</v>
      </c>
    </row>
    <row r="147" ht="15.75" customHeight="1">
      <c r="A147" s="45" t="s">
        <v>255</v>
      </c>
    </row>
    <row r="148" ht="15.75" customHeight="1">
      <c r="A148" s="45"/>
    </row>
    <row r="149" ht="15.75" customHeight="1">
      <c r="A149" s="45" t="s">
        <v>256</v>
      </c>
    </row>
    <row r="150" ht="15.75" customHeight="1">
      <c r="A150" s="45" t="s">
        <v>257</v>
      </c>
    </row>
    <row r="151" ht="15.75" customHeight="1">
      <c r="A151" s="45" t="s">
        <v>258</v>
      </c>
    </row>
    <row r="152" ht="15.75" customHeight="1">
      <c r="A152" s="45" t="s">
        <v>259</v>
      </c>
    </row>
    <row r="153" ht="15.75" customHeight="1">
      <c r="A153" s="46" t="s">
        <v>260</v>
      </c>
    </row>
    <row r="154" ht="15.75" customHeight="1">
      <c r="A154" s="45" t="s">
        <v>261</v>
      </c>
    </row>
    <row r="155" ht="15.75" customHeight="1">
      <c r="A155" s="46" t="s">
        <v>262</v>
      </c>
    </row>
    <row r="156" ht="15.75" customHeight="1">
      <c r="A156" s="46"/>
    </row>
    <row r="157" ht="15.75" customHeight="1">
      <c r="A157" s="45" t="s">
        <v>263</v>
      </c>
    </row>
    <row r="158" ht="15.75" customHeight="1">
      <c r="A158" s="48" t="s">
        <v>264</v>
      </c>
    </row>
    <row r="159" ht="15.75" customHeight="1">
      <c r="A159" s="45" t="s">
        <v>265</v>
      </c>
    </row>
    <row r="160" ht="15.75" customHeight="1">
      <c r="A160" s="59" t="s">
        <v>266</v>
      </c>
    </row>
    <row r="161" ht="15.75" customHeight="1">
      <c r="A161" s="45" t="s">
        <v>267</v>
      </c>
    </row>
    <row r="162" ht="15.75" customHeight="1">
      <c r="A162" s="45"/>
    </row>
    <row r="163" ht="15.75" customHeight="1">
      <c r="A163" s="45" t="s">
        <v>268</v>
      </c>
    </row>
    <row r="164" ht="15.75" customHeight="1">
      <c r="A164" s="45"/>
    </row>
    <row r="165" ht="15.75" customHeight="1">
      <c r="A165" s="45" t="s">
        <v>269</v>
      </c>
    </row>
    <row r="166" ht="15.75" customHeight="1">
      <c r="A166" s="45" t="s">
        <v>270</v>
      </c>
    </row>
    <row r="167" ht="15.75" customHeight="1">
      <c r="A167" s="45" t="s">
        <v>271</v>
      </c>
    </row>
    <row r="168" ht="15.75" customHeight="1">
      <c r="A168" s="45" t="s">
        <v>272</v>
      </c>
    </row>
    <row r="169" ht="15.75" customHeight="1">
      <c r="A169" s="45" t="s">
        <v>273</v>
      </c>
    </row>
    <row r="170" ht="15.75" customHeight="1">
      <c r="A170" s="45" t="s">
        <v>274</v>
      </c>
    </row>
    <row r="171" ht="15.75" customHeight="1">
      <c r="A171" s="45" t="s">
        <v>275</v>
      </c>
    </row>
    <row r="172" ht="15.75" customHeight="1">
      <c r="A172" s="45"/>
    </row>
    <row r="173" ht="15.75" customHeight="1">
      <c r="A173" s="45"/>
    </row>
    <row r="174" ht="15.75" customHeight="1">
      <c r="A174" s="44" t="s">
        <v>152</v>
      </c>
    </row>
    <row r="175" ht="15.75" customHeight="1">
      <c r="A175" s="44" t="s">
        <v>276</v>
      </c>
    </row>
    <row r="176" ht="15.75" customHeight="1">
      <c r="A176" s="44" t="s">
        <v>152</v>
      </c>
    </row>
    <row r="177" ht="15.75" customHeight="1">
      <c r="A177" s="44"/>
    </row>
    <row r="178" ht="15.75" customHeight="1">
      <c r="A178" s="45" t="s">
        <v>277</v>
      </c>
    </row>
    <row r="179" ht="15.75" customHeight="1">
      <c r="A179" s="45" t="s">
        <v>278</v>
      </c>
    </row>
    <row r="180" ht="15.75" customHeight="1">
      <c r="A180" s="45"/>
    </row>
    <row r="181" ht="15.75" customHeight="1">
      <c r="A181" s="45"/>
    </row>
    <row r="182" ht="15.75" customHeight="1">
      <c r="A182" s="44" t="s">
        <v>152</v>
      </c>
    </row>
    <row r="183" ht="15.75" customHeight="1">
      <c r="A183" s="44" t="s">
        <v>279</v>
      </c>
    </row>
    <row r="184" ht="15.75" customHeight="1">
      <c r="A184" s="44" t="s">
        <v>280</v>
      </c>
    </row>
    <row r="185" ht="15.75" customHeight="1">
      <c r="A185" s="44" t="s">
        <v>152</v>
      </c>
    </row>
    <row r="186" ht="15.75" customHeight="1">
      <c r="A186" s="45" t="s">
        <v>281</v>
      </c>
    </row>
    <row r="187" ht="15.75" customHeight="1">
      <c r="A187" s="45" t="s">
        <v>282</v>
      </c>
    </row>
    <row r="188" ht="15.75" customHeight="1">
      <c r="A188" s="45" t="s">
        <v>283</v>
      </c>
    </row>
    <row r="189" ht="15.75" customHeight="1">
      <c r="A189" s="45" t="s">
        <v>284</v>
      </c>
    </row>
    <row r="190" ht="15.75" customHeight="1">
      <c r="A190" s="45" t="s">
        <v>285</v>
      </c>
    </row>
    <row r="191" ht="15.75" customHeight="1">
      <c r="A191" s="45" t="s">
        <v>286</v>
      </c>
    </row>
    <row r="192" ht="15.75" customHeight="1">
      <c r="A192" s="45" t="s">
        <v>287</v>
      </c>
    </row>
    <row r="193" ht="15.75" customHeight="1">
      <c r="A193" s="45"/>
    </row>
    <row r="194" ht="15.75" customHeight="1">
      <c r="A194" s="45"/>
    </row>
    <row r="195" ht="15.75" customHeight="1">
      <c r="A195" s="45" t="s">
        <v>288</v>
      </c>
    </row>
    <row r="196" ht="15.75" customHeight="1">
      <c r="A196" s="45" t="s">
        <v>289</v>
      </c>
    </row>
    <row r="197" ht="15.75" customHeight="1">
      <c r="A197" s="45" t="s">
        <v>290</v>
      </c>
    </row>
    <row r="198" ht="15.75" customHeight="1">
      <c r="A198" s="45"/>
    </row>
    <row r="199" ht="15.75" customHeight="1">
      <c r="A199" s="45"/>
    </row>
    <row r="200" ht="15.75" customHeight="1">
      <c r="A200" s="44" t="s">
        <v>152</v>
      </c>
    </row>
    <row r="201" ht="15.75" customHeight="1">
      <c r="A201" s="44" t="s">
        <v>291</v>
      </c>
    </row>
    <row r="202" ht="15.75" customHeight="1">
      <c r="A202" s="44" t="s">
        <v>152</v>
      </c>
    </row>
    <row r="203" ht="15.75" customHeight="1">
      <c r="A203" s="44"/>
    </row>
    <row r="204" ht="15.75" customHeight="1">
      <c r="A204" s="45" t="s">
        <v>292</v>
      </c>
    </row>
    <row r="205" ht="15.75" customHeight="1">
      <c r="A205" s="48" t="s">
        <v>293</v>
      </c>
    </row>
    <row r="206" ht="15.75" customHeight="1">
      <c r="A206" s="45" t="s">
        <v>294</v>
      </c>
    </row>
    <row r="207" ht="15.75" customHeight="1">
      <c r="A207" s="45" t="s">
        <v>241</v>
      </c>
    </row>
    <row r="208" ht="15.75" customHeight="1">
      <c r="A208" s="45" t="s">
        <v>295</v>
      </c>
    </row>
    <row r="209" ht="15.75" customHeight="1">
      <c r="A209" s="45" t="s">
        <v>296</v>
      </c>
    </row>
    <row r="210" ht="15.75" customHeight="1">
      <c r="A210" s="45" t="s">
        <v>297</v>
      </c>
    </row>
    <row r="211" ht="15.75" customHeight="1">
      <c r="A211" s="45" t="s">
        <v>298</v>
      </c>
    </row>
    <row r="212" ht="15.75" customHeight="1">
      <c r="A212" s="45"/>
    </row>
    <row r="213" ht="15.75" customHeight="1">
      <c r="A213" s="45"/>
    </row>
    <row r="214" ht="15.75" customHeight="1">
      <c r="A214" s="45" t="s">
        <v>299</v>
      </c>
    </row>
    <row r="215" ht="15.75" customHeight="1">
      <c r="A215" s="48" t="s">
        <v>300</v>
      </c>
    </row>
    <row r="216" ht="15.75" customHeight="1">
      <c r="A216" s="45" t="s">
        <v>294</v>
      </c>
    </row>
    <row r="217" ht="15.75" customHeight="1">
      <c r="A217" s="45" t="s">
        <v>241</v>
      </c>
    </row>
    <row r="218" ht="15.75" customHeight="1">
      <c r="A218" s="45" t="s">
        <v>295</v>
      </c>
    </row>
    <row r="219" ht="15.75" customHeight="1">
      <c r="A219" s="45" t="s">
        <v>296</v>
      </c>
    </row>
    <row r="220" ht="15.75" customHeight="1">
      <c r="A220" s="45" t="s">
        <v>301</v>
      </c>
    </row>
    <row r="221" ht="15.75" customHeight="1">
      <c r="A221" s="45" t="s">
        <v>298</v>
      </c>
    </row>
    <row r="222" ht="15.75" customHeight="1">
      <c r="A222" s="45"/>
    </row>
    <row r="223" ht="15.75" customHeight="1">
      <c r="A223" s="45"/>
    </row>
    <row r="224" ht="15.75" customHeight="1">
      <c r="A224" s="44" t="s">
        <v>152</v>
      </c>
    </row>
    <row r="225" ht="15.75" customHeight="1">
      <c r="A225" s="44" t="s">
        <v>302</v>
      </c>
    </row>
    <row r="226" ht="15.75" customHeight="1">
      <c r="A226" s="44" t="s">
        <v>303</v>
      </c>
    </row>
    <row r="227" ht="15.75" customHeight="1">
      <c r="A227" s="44" t="s">
        <v>304</v>
      </c>
    </row>
    <row r="228" ht="15.75" customHeight="1">
      <c r="A228" s="44" t="s">
        <v>152</v>
      </c>
    </row>
    <row r="229" ht="15.75" customHeight="1">
      <c r="A229" s="44"/>
    </row>
    <row r="230" ht="15.75" customHeight="1">
      <c r="A230" s="45" t="s">
        <v>305</v>
      </c>
    </row>
    <row r="231" ht="15.75" customHeight="1">
      <c r="A231" s="48" t="s">
        <v>306</v>
      </c>
    </row>
    <row r="232" ht="15.75" customHeight="1">
      <c r="A232" s="44" t="s">
        <v>307</v>
      </c>
    </row>
    <row r="233" ht="15.75" customHeight="1">
      <c r="A233" s="45" t="s">
        <v>308</v>
      </c>
    </row>
    <row r="234" ht="15.75" customHeight="1">
      <c r="A234" s="45" t="s">
        <v>295</v>
      </c>
    </row>
    <row r="235" ht="15.75" customHeight="1">
      <c r="A235" s="45" t="s">
        <v>309</v>
      </c>
    </row>
    <row r="236" ht="15.75" customHeight="1">
      <c r="A236" s="45" t="s">
        <v>310</v>
      </c>
    </row>
    <row r="237" ht="15.75" customHeight="1">
      <c r="A237" s="45" t="s">
        <v>311</v>
      </c>
    </row>
    <row r="238" ht="15.75" customHeight="1">
      <c r="A238" s="45" t="s">
        <v>312</v>
      </c>
    </row>
    <row r="239" ht="15.75" customHeight="1">
      <c r="A239" s="45" t="s">
        <v>313</v>
      </c>
    </row>
    <row r="240" ht="15.75" customHeight="1">
      <c r="A240" s="45" t="s">
        <v>314</v>
      </c>
    </row>
    <row r="241" ht="15.75" customHeight="1">
      <c r="A241" s="44" t="s">
        <v>315</v>
      </c>
    </row>
    <row r="242" ht="15.75" customHeight="1">
      <c r="A242" s="45" t="s">
        <v>316</v>
      </c>
    </row>
    <row r="243" ht="15.75" customHeight="1">
      <c r="A243" s="45" t="s">
        <v>317</v>
      </c>
    </row>
    <row r="244" ht="15.75" customHeight="1">
      <c r="A244" s="45"/>
    </row>
    <row r="245" ht="15.75" customHeight="1">
      <c r="A245" s="45"/>
    </row>
    <row r="246" ht="15.75" customHeight="1">
      <c r="A246" s="45" t="s">
        <v>318</v>
      </c>
    </row>
    <row r="247" ht="15.75" customHeight="1">
      <c r="A247" s="48" t="s">
        <v>319</v>
      </c>
    </row>
    <row r="248" ht="15.75" customHeight="1">
      <c r="A248" s="44" t="s">
        <v>320</v>
      </c>
    </row>
    <row r="249" ht="15.75" customHeight="1">
      <c r="A249" s="45" t="s">
        <v>321</v>
      </c>
    </row>
    <row r="250" ht="15.75" customHeight="1">
      <c r="A250" s="45" t="s">
        <v>295</v>
      </c>
    </row>
    <row r="251" ht="15.75" customHeight="1">
      <c r="A251" s="45" t="s">
        <v>309</v>
      </c>
    </row>
    <row r="252" ht="15.75" customHeight="1">
      <c r="A252" s="45" t="s">
        <v>310</v>
      </c>
    </row>
    <row r="253" ht="15.75" customHeight="1">
      <c r="A253" s="45" t="s">
        <v>311</v>
      </c>
    </row>
    <row r="254" ht="15.75" customHeight="1">
      <c r="A254" s="45" t="s">
        <v>312</v>
      </c>
    </row>
    <row r="255" ht="15.75" customHeight="1">
      <c r="A255" s="45" t="s">
        <v>313</v>
      </c>
    </row>
    <row r="256" ht="15.75" customHeight="1">
      <c r="A256" s="45" t="s">
        <v>314</v>
      </c>
    </row>
    <row r="257" ht="15.75" customHeight="1">
      <c r="A257" s="44" t="s">
        <v>315</v>
      </c>
    </row>
    <row r="258" ht="15.75" customHeight="1">
      <c r="A258" s="45" t="s">
        <v>316</v>
      </c>
    </row>
    <row r="259" ht="15.75" customHeight="1">
      <c r="A259" s="45" t="s">
        <v>317</v>
      </c>
    </row>
    <row r="260" ht="15.75" customHeight="1">
      <c r="A260" s="45"/>
    </row>
    <row r="261" ht="15.75" customHeight="1">
      <c r="A261" s="45"/>
    </row>
    <row r="262" ht="15.75" customHeight="1">
      <c r="A262" s="44" t="s">
        <v>152</v>
      </c>
    </row>
    <row r="263" ht="15.75" customHeight="1">
      <c r="A263" s="44" t="s">
        <v>322</v>
      </c>
    </row>
    <row r="264" ht="15.75" customHeight="1">
      <c r="A264" s="44" t="s">
        <v>152</v>
      </c>
    </row>
    <row r="265" ht="15.75" customHeight="1">
      <c r="A265" s="45" t="s">
        <v>323</v>
      </c>
    </row>
    <row r="266" ht="15.75" customHeight="1">
      <c r="A266" s="45" t="s">
        <v>324</v>
      </c>
    </row>
    <row r="267" ht="15.75" customHeight="1">
      <c r="A267" s="45" t="s">
        <v>325</v>
      </c>
    </row>
    <row r="268" ht="15.75" customHeight="1">
      <c r="A268" s="45" t="s">
        <v>326</v>
      </c>
    </row>
    <row r="269" ht="15.75" customHeight="1">
      <c r="A269" s="45" t="s">
        <v>327</v>
      </c>
    </row>
    <row r="270" ht="15.75" customHeight="1">
      <c r="A270" s="45" t="s">
        <v>194</v>
      </c>
    </row>
    <row r="271" ht="15.75" customHeight="1">
      <c r="A271" s="45"/>
    </row>
    <row r="272" ht="15.75" customHeight="1">
      <c r="A272" s="44" t="s">
        <v>152</v>
      </c>
    </row>
    <row r="273" ht="15.75" customHeight="1">
      <c r="A273" s="44" t="s">
        <v>328</v>
      </c>
    </row>
    <row r="274" ht="15.75" customHeight="1">
      <c r="A274" s="44" t="s">
        <v>152</v>
      </c>
    </row>
    <row r="275" ht="15.75" customHeight="1">
      <c r="A275" s="44"/>
    </row>
    <row r="276" ht="15.75" customHeight="1">
      <c r="A276" s="45" t="s">
        <v>329</v>
      </c>
    </row>
    <row r="277" ht="15.75" customHeight="1">
      <c r="A277" s="45" t="s">
        <v>330</v>
      </c>
    </row>
    <row r="278" ht="15.75" customHeight="1">
      <c r="A278" s="45"/>
    </row>
    <row r="279" ht="15.75" customHeight="1">
      <c r="A279" s="45" t="s">
        <v>331</v>
      </c>
    </row>
    <row r="280" ht="15.75" customHeight="1">
      <c r="A280" s="46" t="s">
        <v>332</v>
      </c>
    </row>
    <row r="281" ht="15.75" customHeight="1">
      <c r="A281" s="46"/>
    </row>
    <row r="282" ht="15.75" customHeight="1">
      <c r="A282" s="48" t="s">
        <v>333</v>
      </c>
    </row>
    <row r="283" ht="15.75" customHeight="1">
      <c r="A283" s="45" t="s">
        <v>334</v>
      </c>
    </row>
    <row r="284" ht="15.75" customHeight="1">
      <c r="A284" s="48" t="s">
        <v>335</v>
      </c>
    </row>
    <row r="285" ht="15.75" customHeight="1">
      <c r="A285" s="48" t="s">
        <v>336</v>
      </c>
    </row>
    <row r="286" ht="15.75" customHeight="1">
      <c r="A286" s="45" t="s">
        <v>337</v>
      </c>
    </row>
    <row r="287" ht="15.75" customHeight="1">
      <c r="A287" s="45"/>
    </row>
    <row r="288" ht="15.75" customHeight="1">
      <c r="A288" s="45" t="s">
        <v>338</v>
      </c>
    </row>
    <row r="289" ht="15.75" customHeight="1">
      <c r="A289" s="45" t="s">
        <v>339</v>
      </c>
    </row>
    <row r="290" ht="15.75" customHeight="1">
      <c r="A290" s="45" t="s">
        <v>340</v>
      </c>
    </row>
    <row r="291" ht="15.75" customHeight="1">
      <c r="A291" s="45" t="s">
        <v>341</v>
      </c>
    </row>
    <row r="292" ht="15.75" customHeight="1">
      <c r="A292" s="45" t="s">
        <v>342</v>
      </c>
    </row>
    <row r="293" ht="15.75" customHeight="1">
      <c r="A293" s="45" t="s">
        <v>343</v>
      </c>
    </row>
    <row r="294" ht="15.75" customHeight="1">
      <c r="A294" s="48" t="s">
        <v>344</v>
      </c>
    </row>
    <row r="295" ht="15.75" customHeight="1">
      <c r="A295" s="45" t="s">
        <v>345</v>
      </c>
    </row>
    <row r="296" ht="15.75" customHeight="1">
      <c r="A296" s="45" t="s">
        <v>346</v>
      </c>
    </row>
    <row r="297" ht="15.75" customHeight="1">
      <c r="A297" s="48" t="s">
        <v>347</v>
      </c>
    </row>
    <row r="298" ht="15.75" customHeight="1">
      <c r="A298" s="48"/>
    </row>
    <row r="299" ht="15.75" customHeight="1">
      <c r="A299" s="45" t="s">
        <v>348</v>
      </c>
    </row>
    <row r="300" ht="15.75" customHeight="1">
      <c r="A300" s="45" t="s">
        <v>349</v>
      </c>
    </row>
    <row r="301" ht="15.75" customHeight="1">
      <c r="A301" s="45" t="s">
        <v>350</v>
      </c>
    </row>
    <row r="302" ht="15.75" customHeight="1">
      <c r="A302" s="45" t="s">
        <v>351</v>
      </c>
    </row>
    <row r="303" ht="15.75" customHeight="1">
      <c r="A303" s="45" t="s">
        <v>352</v>
      </c>
    </row>
    <row r="304" ht="15.75" customHeight="1">
      <c r="A304" s="45" t="s">
        <v>353</v>
      </c>
    </row>
    <row r="305" ht="15.75" customHeight="1">
      <c r="A305" s="45"/>
    </row>
    <row r="306" ht="15.75" customHeight="1">
      <c r="A306" s="46" t="s">
        <v>354</v>
      </c>
    </row>
    <row r="307" ht="15.75" customHeight="1">
      <c r="A307" s="45" t="s">
        <v>355</v>
      </c>
    </row>
    <row r="308" ht="15.75" customHeight="1">
      <c r="A308" s="48" t="s">
        <v>356</v>
      </c>
    </row>
    <row r="309" ht="15.75" customHeight="1">
      <c r="A309" s="45" t="s">
        <v>357</v>
      </c>
    </row>
    <row r="310" ht="15.75" customHeight="1">
      <c r="A310" s="45" t="s">
        <v>358</v>
      </c>
    </row>
    <row r="311" ht="15.75" customHeight="1">
      <c r="A311" s="45" t="s">
        <v>359</v>
      </c>
    </row>
    <row r="312" ht="15.75" customHeight="1">
      <c r="A312" s="45"/>
    </row>
    <row r="313" ht="15.75" customHeight="1">
      <c r="A313" s="44" t="s">
        <v>360</v>
      </c>
    </row>
    <row r="314" ht="15.75" customHeight="1">
      <c r="A314" s="45" t="s">
        <v>361</v>
      </c>
    </row>
    <row r="315" ht="15.75" customHeight="1">
      <c r="A315" s="45" t="s">
        <v>362</v>
      </c>
    </row>
    <row r="316" ht="15.75" customHeight="1">
      <c r="A316" s="45" t="s">
        <v>363</v>
      </c>
    </row>
    <row r="317" ht="15.75" customHeight="1">
      <c r="A317" s="45" t="s">
        <v>364</v>
      </c>
    </row>
    <row r="318" ht="15.75" customHeight="1">
      <c r="A318" s="45"/>
    </row>
    <row r="319" ht="15.75" customHeight="1">
      <c r="A319" s="45" t="s">
        <v>365</v>
      </c>
    </row>
    <row r="320" ht="15.75" customHeight="1">
      <c r="A320" s="45"/>
    </row>
    <row r="321" ht="15.75" customHeight="1">
      <c r="A321" s="44" t="s">
        <v>366</v>
      </c>
    </row>
    <row r="322" ht="15.75" customHeight="1">
      <c r="A322" s="45" t="s">
        <v>367</v>
      </c>
    </row>
    <row r="323" ht="15.75" customHeight="1">
      <c r="A323" s="45" t="s">
        <v>368</v>
      </c>
    </row>
    <row r="324" ht="15.75" customHeight="1">
      <c r="A324" s="45"/>
    </row>
    <row r="325" ht="15.75" customHeight="1">
      <c r="A325" s="45" t="s">
        <v>369</v>
      </c>
    </row>
    <row r="326" ht="15.75" customHeight="1">
      <c r="A326" s="45" t="s">
        <v>370</v>
      </c>
    </row>
    <row r="327" ht="15.75" customHeight="1">
      <c r="A327" s="45" t="s">
        <v>371</v>
      </c>
    </row>
    <row r="328" ht="15.75" customHeight="1">
      <c r="A328" s="45" t="s">
        <v>372</v>
      </c>
    </row>
    <row r="329" ht="15.75" customHeight="1">
      <c r="A329" s="45" t="s">
        <v>373</v>
      </c>
    </row>
    <row r="330" ht="15.75" customHeight="1">
      <c r="A330" s="59" t="s">
        <v>374</v>
      </c>
    </row>
    <row r="331" ht="15.75" customHeight="1">
      <c r="A331" s="59"/>
    </row>
    <row r="332" ht="15.75" customHeight="1">
      <c r="A332" s="45" t="s">
        <v>375</v>
      </c>
    </row>
    <row r="333" ht="15.75" customHeight="1">
      <c r="A333" s="45" t="s">
        <v>376</v>
      </c>
    </row>
    <row r="334" ht="15.75" customHeight="1">
      <c r="A334" s="45" t="s">
        <v>377</v>
      </c>
    </row>
    <row r="335" ht="15.75" customHeight="1">
      <c r="A335" s="45" t="s">
        <v>378</v>
      </c>
    </row>
    <row r="336" ht="15.75" customHeight="1">
      <c r="A336" s="45" t="s">
        <v>379</v>
      </c>
    </row>
    <row r="337" ht="15.75" customHeight="1">
      <c r="A337" s="59" t="s">
        <v>380</v>
      </c>
    </row>
    <row r="338" ht="15.75" customHeight="1">
      <c r="A338" s="45" t="s">
        <v>381</v>
      </c>
    </row>
    <row r="339" ht="15.75" customHeight="1">
      <c r="A339" s="46" t="s">
        <v>382</v>
      </c>
    </row>
    <row r="340" ht="15.75" customHeight="1">
      <c r="A340" s="45" t="s">
        <v>383</v>
      </c>
    </row>
    <row r="341" ht="15.75" customHeight="1">
      <c r="A341" s="45"/>
    </row>
    <row r="342" ht="15.75" customHeight="1">
      <c r="A342" s="48" t="s">
        <v>384</v>
      </c>
    </row>
    <row r="343" ht="15.75" customHeight="1">
      <c r="A343" s="45" t="s">
        <v>385</v>
      </c>
    </row>
    <row r="344" ht="15.75" customHeight="1">
      <c r="A344" s="45" t="s">
        <v>386</v>
      </c>
    </row>
    <row r="345" ht="15.75" customHeight="1">
      <c r="A345" s="45"/>
    </row>
    <row r="346" ht="15.75" customHeight="1">
      <c r="A346" s="45"/>
    </row>
    <row r="347" ht="15.75" customHeight="1">
      <c r="A347" s="45" t="s">
        <v>387</v>
      </c>
    </row>
    <row r="348" ht="15.75" customHeight="1">
      <c r="A348" s="45" t="s">
        <v>388</v>
      </c>
    </row>
    <row r="349" ht="15.75" customHeight="1">
      <c r="A349" s="45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"/>
  </hyperlinks>
  <printOptions/>
  <pageMargins bottom="0.75" footer="0.0" header="0.0" left="0.7" right="0.7" top="0.75"/>
  <pageSetup orientation="landscape"/>
  <drawing r:id="rId2"/>
</worksheet>
</file>